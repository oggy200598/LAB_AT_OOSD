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ggy2\OneDrive\Máy tính\LAB_AT_OOSD\LAB5\"/>
    </mc:Choice>
  </mc:AlternateContent>
  <xr:revisionPtr revIDLastSave="0" documentId="13_ncr:1_{C8C08502-3018-4EAC-BD1C-6425D5C47A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iem thu TC01-TC24" sheetId="1" r:id="rId1"/>
    <sheet name="Tong hop" sheetId="2" r:id="rId2"/>
  </sheets>
  <definedNames>
    <definedName name="_xlnm._FilterDatabase" localSheetId="0" hidden="1">'Kiem thu TC01-TC24'!$A$2:$G$26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<sst xmlns="http://schemas.openxmlformats.org/spreadsheetml/2006/main" count="159" uniqueCount="99">
  <si>
    <t>BẢNG KIỂM THỬ 24 TEST CASE – QUẢN LÝ CÔNG TY DU LỊCH</t>
  </si>
  <si>
    <t>Mã TC</t>
  </si>
  <si>
    <t>Chức năng</t>
  </si>
  <si>
    <t>Dữ liệu / điều kiện kiểm thử</t>
  </si>
  <si>
    <t>Kết quả mong đợi</t>
  </si>
  <si>
    <t>Kết quả thực tế</t>
  </si>
  <si>
    <t>Trạng thái</t>
  </si>
  <si>
    <t>Ghi chú / bằng chứng</t>
  </si>
  <si>
    <t>TC01</t>
  </si>
  <si>
    <t>Danh mục</t>
  </si>
  <si>
    <t>Thêm HDV04, lương 9.000.000</t>
  </si>
  <si>
    <t>Đã thêm hướng dẫn viên.</t>
  </si>
  <si>
    <t>Chưa chạy</t>
  </si>
  <si>
    <t>TC02</t>
  </si>
  <si>
    <t>Tour</t>
  </si>
  <si>
    <t>Thêm T004 Phú Quốc, 3 ngày 2 đêm, 5.500.000</t>
  </si>
  <si>
    <t>Đã thêm tour.</t>
  </si>
  <si>
    <t>TC03</t>
  </si>
  <si>
    <t>Điểm dừng</t>
  </si>
  <si>
    <t>T001, thứ tự 2 (đã có)</t>
  </si>
  <si>
    <t>Từ chối: trùng khóa (MaTour, ThuTu).</t>
  </si>
  <si>
    <t>TC04</t>
  </si>
  <si>
    <t>Chuyến lẻ</t>
  </si>
  <si>
    <t>CL004, tour T001, đi 15/12/2026</t>
  </si>
  <si>
    <t>Đã tạo chuyến; ngày về 17/12/2026.</t>
  </si>
  <si>
    <t>TC05</t>
  </si>
  <si>
    <t>Đăng ký lẻ</t>
  </si>
  <si>
    <t>DKL003, CL002, 4 người</t>
  </si>
  <si>
    <t>Đã đăng ký và thanh toán vé. Thành tiền: 10.000.000 đ.</t>
  </si>
  <si>
    <t>TC06</t>
  </si>
  <si>
    <t>12 người</t>
  </si>
  <si>
    <t>numNguoi giới hạn 1–11; Service từ chối (QD01).</t>
  </si>
  <si>
    <t>TC07</t>
  </si>
  <si>
    <t>Chuyến CL001 (Đóng đăng ký)</t>
  </si>
  <si>
    <t>Không có trong danh sách; Service: chuyến đã đóng đăng ký.</t>
  </si>
  <si>
    <t>TC08</t>
  </si>
  <si>
    <t>Đăng ký đoàn</t>
  </si>
  <si>
    <t>DD003, T003, 15 người, đi 05/01/2027, cọc 30.000.000</t>
  </si>
  <si>
    <t>Thành công; kết thúc 09/01/2027; tổng 133.500.000 đ.</t>
  </si>
  <si>
    <t>TC09</t>
  </si>
  <si>
    <t>numNguoi tối thiểu 13; Service từ chối (QD01).</t>
  </si>
  <si>
    <t>TC10</t>
  </si>
  <si>
    <t>Mua bảo hiểm, 15 người, danh sách 14 người</t>
  </si>
  <si>
    <t>Đoàn mua bảo hiểm phải kèm danh sách đủ 15 người cùng đi.</t>
  </si>
  <si>
    <t>TC11</t>
  </si>
  <si>
    <t>Tiền cọc 0</t>
  </si>
  <si>
    <t>Khách đoàn phải đặt cọc trước một khoản tiền.</t>
  </si>
  <si>
    <t>TC12</t>
  </si>
  <si>
    <t>Hủy đoàn</t>
  </si>
  <si>
    <t>DD002 (đi 10/12/2026)</t>
  </si>
  <si>
    <t>Trạng thái “Hủy - mất cọc”; phân công của đoàn bị gỡ.</t>
  </si>
  <si>
    <t>TC13</t>
  </si>
  <si>
    <t>Phân công</t>
  </si>
  <si>
    <t>PC004: HDV01 cho CL002, thù lao 1.500.000</t>
  </si>
  <si>
    <t>Đã phân công hướng dẫn viên.</t>
  </si>
  <si>
    <t>TC14</t>
  </si>
  <si>
    <t>Thêm HDV khác cho CL002</t>
  </si>
  <si>
    <t>CL002 không còn trong danh sách; mỗi chuyến khách lẻ chỉ được phân công một hướng dẫn viên.</t>
  </si>
  <si>
    <t>TC15</t>
  </si>
  <si>
    <t>HDV02 cho DD001 (trùng 10–12/09 với PC002 của HDV02)</t>
  </si>
  <si>
    <t>Thông báo hướng dẫn viên bị chồng chéo lịch.</t>
  </si>
  <si>
    <t>TC16</t>
  </si>
  <si>
    <t>HDV01 cho DD001 (10–12/09; HDV01 có CL001 05–07/09)</t>
  </si>
  <si>
    <t>Thành công; đoàn DD001 có 3 HDV.</t>
  </si>
  <si>
    <t>TC17</t>
  </si>
  <si>
    <t>Thanh toán đoàn</t>
  </si>
  <si>
    <t>DD001, 50.000.000, ngày 15/09/2026</t>
  </si>
  <si>
    <t>Từ chối: số tiền vượt số còn phải thanh toán (40.000.000 đ).</t>
  </si>
  <si>
    <t>TC18</t>
  </si>
  <si>
    <t>DD001, 40.000.000, ngày 15/09/2026</t>
  </si>
  <si>
    <t>Thông báo đoàn đã hoàn tất thanh toán.</t>
  </si>
  <si>
    <t>TC19</t>
  </si>
  <si>
    <t>DD003, ngày trước 09/01/2027</t>
  </si>
  <si>
    <t>Kinh phí đoàn chỉ thanh toán sau khi kết thúc chuyến tham quan.</t>
  </si>
  <si>
    <t>TC20</t>
  </si>
  <si>
    <t>Khảo sát</t>
  </si>
  <si>
    <t>KS002 cho DD001, gửi 15/09/2026</t>
  </si>
  <si>
    <t>Đã gửi phiếu khảo sát KS002.</t>
  </si>
  <si>
    <t>TC21</t>
  </si>
  <si>
    <t>DKL002 (chuyến CL002 chưa kết thúc)</t>
  </si>
  <si>
    <t>Không có trong danh sách; chỉ gửi sau khi kết thúc tour.</t>
  </si>
  <si>
    <t>TC22</t>
  </si>
  <si>
    <t>Góp ý</t>
  </si>
  <si>
    <t>KS002, điểm 4, góp ý “Lịch trình hợp lý”</t>
  </si>
  <si>
    <t>Đã ghi nhận góp ý của khách hàng.</t>
  </si>
  <si>
    <t>TC23</t>
  </si>
  <si>
    <t>Lương</t>
  </si>
  <si>
    <t>HDV01: 10.500.000; HDV02: 11.500.000; HDV03: 10.500.000.</t>
  </si>
  <si>
    <t>TC24</t>
  </si>
  <si>
    <t>Thống kê</t>
  </si>
  <si>
    <t>Bảng 5 chỉ số; đăng ký lẻ 2 phiếu, 12.500.000 đ.</t>
  </si>
  <si>
    <t>TỔNG HỢP KẾT QUẢ KIỂM THỬ</t>
  </si>
  <si>
    <t>Chỉ tiêu</t>
  </si>
  <si>
    <t>Số lượng</t>
  </si>
  <si>
    <t>Tổng test case</t>
  </si>
  <si>
    <t>Pass</t>
  </si>
  <si>
    <t>Fail</t>
  </si>
  <si>
    <t>01/01/2026–9/10/2026</t>
  </si>
  <si>
    <t>Tháng 10/2026 (dữ liệu mẫu)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</si>
</sst>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Calibri"/>
    </font>
    <font>
      <b/>
      <sz val="15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0" xfId="0" applyFont="1" applyFill="1"/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18</xdr:col>
      <xdr:colOff>487077</xdr:colOff>
      <xdr:row>2</xdr:row>
      <xdr:rowOff>304843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A326BE55-BCA0-29B3-AA8C-248DAAFFC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8300" y="571500"/>
          <a:ext cx="9326277" cy="3048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18</xdr:col>
      <xdr:colOff>458498</xdr:colOff>
      <xdr:row>3</xdr:row>
      <xdr:rowOff>333422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0071844A-B56B-3A63-A5E0-50B7682F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8300" y="1257300"/>
          <a:ext cx="9297698" cy="33342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85725</xdr:rowOff>
    </xdr:from>
    <xdr:to>
      <xdr:col>9</xdr:col>
      <xdr:colOff>495837</xdr:colOff>
      <xdr:row>5</xdr:row>
      <xdr:rowOff>222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1B35B5F-E864-DF21-BF94-317EF71C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68300" y="2028825"/>
          <a:ext cx="3848637" cy="159089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19</xdr:col>
      <xdr:colOff>144214</xdr:colOff>
      <xdr:row>5</xdr:row>
      <xdr:rowOff>666843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663A357E-868A-1379-3700-126C1719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8300" y="3619500"/>
          <a:ext cx="9593014" cy="6668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19</xdr:col>
      <xdr:colOff>29898</xdr:colOff>
      <xdr:row>6</xdr:row>
      <xdr:rowOff>419158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C9E399D9-0559-72A1-285C-9771AC4F6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8300" y="4305300"/>
          <a:ext cx="9478698" cy="41915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343246</xdr:colOff>
      <xdr:row>7</xdr:row>
      <xdr:rowOff>1400370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A61CE39F-04AB-FAA6-C2CD-406C95F6E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68300" y="4991100"/>
          <a:ext cx="2476846" cy="140037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20</xdr:col>
      <xdr:colOff>553931</xdr:colOff>
      <xdr:row>9</xdr:row>
      <xdr:rowOff>1381318</xdr:rowOff>
    </xdr:to>
    <xdr:pic>
      <xdr:nvPicPr>
        <xdr:cNvPr id="9" name="Hình ảnh 8">
          <a:extLst>
            <a:ext uri="{FF2B5EF4-FFF2-40B4-BE49-F238E27FC236}">
              <a16:creationId xmlns:a16="http://schemas.microsoft.com/office/drawing/2014/main" id="{A0A6F77C-1CA3-E235-A49E-168E2047C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7105650"/>
          <a:ext cx="10612331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305311</xdr:colOff>
      <xdr:row>10</xdr:row>
      <xdr:rowOff>1600423</xdr:rowOff>
    </xdr:to>
    <xdr:pic>
      <xdr:nvPicPr>
        <xdr:cNvPr id="11" name="Hình ảnh 10">
          <a:extLst>
            <a:ext uri="{FF2B5EF4-FFF2-40B4-BE49-F238E27FC236}">
              <a16:creationId xmlns:a16="http://schemas.microsoft.com/office/drawing/2014/main" id="{30AA99B6-422A-1E01-FF87-0B99AD8C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068300" y="8582025"/>
          <a:ext cx="3658111" cy="16004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20</xdr:col>
      <xdr:colOff>553931</xdr:colOff>
      <xdr:row>12</xdr:row>
      <xdr:rowOff>9718</xdr:rowOff>
    </xdr:to>
    <xdr:pic>
      <xdr:nvPicPr>
        <xdr:cNvPr id="12" name="Hình ảnh 11">
          <a:extLst>
            <a:ext uri="{FF2B5EF4-FFF2-40B4-BE49-F238E27FC236}">
              <a16:creationId xmlns:a16="http://schemas.microsoft.com/office/drawing/2014/main" id="{5069D084-855A-489E-A4C8-0C65FC339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10287000"/>
          <a:ext cx="10612331" cy="13813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9</xdr:col>
      <xdr:colOff>410100</xdr:colOff>
      <xdr:row>12</xdr:row>
      <xdr:rowOff>1743318</xdr:rowOff>
    </xdr:to>
    <xdr:pic>
      <xdr:nvPicPr>
        <xdr:cNvPr id="13" name="Hình ảnh 12">
          <a:extLst>
            <a:ext uri="{FF2B5EF4-FFF2-40B4-BE49-F238E27FC236}">
              <a16:creationId xmlns:a16="http://schemas.microsoft.com/office/drawing/2014/main" id="{35BE0D8D-DA20-521B-F1FA-61625A48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68300" y="11658600"/>
          <a:ext cx="3762900" cy="17433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19</xdr:col>
      <xdr:colOff>58477</xdr:colOff>
      <xdr:row>13</xdr:row>
      <xdr:rowOff>1143160</xdr:rowOff>
    </xdr:to>
    <xdr:pic>
      <xdr:nvPicPr>
        <xdr:cNvPr id="14" name="Hình ảnh 13">
          <a:extLst>
            <a:ext uri="{FF2B5EF4-FFF2-40B4-BE49-F238E27FC236}">
              <a16:creationId xmlns:a16="http://schemas.microsoft.com/office/drawing/2014/main" id="{C97CD0BF-5690-20D5-DCA1-5FF72B9F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68300" y="13458825"/>
          <a:ext cx="9507277" cy="11431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20</xdr:col>
      <xdr:colOff>296720</xdr:colOff>
      <xdr:row>14</xdr:row>
      <xdr:rowOff>1114581</xdr:rowOff>
    </xdr:to>
    <xdr:pic>
      <xdr:nvPicPr>
        <xdr:cNvPr id="15" name="Hình ảnh 14">
          <a:extLst>
            <a:ext uri="{FF2B5EF4-FFF2-40B4-BE49-F238E27FC236}">
              <a16:creationId xmlns:a16="http://schemas.microsoft.com/office/drawing/2014/main" id="{A34EEF17-CFB4-0F89-51B0-30F6F5BFB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068300" y="14649450"/>
          <a:ext cx="10355120" cy="111458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9</xdr:col>
      <xdr:colOff>476784</xdr:colOff>
      <xdr:row>16</xdr:row>
      <xdr:rowOff>66914</xdr:rowOff>
    </xdr:to>
    <xdr:pic>
      <xdr:nvPicPr>
        <xdr:cNvPr id="16" name="Hình ảnh 15">
          <a:extLst>
            <a:ext uri="{FF2B5EF4-FFF2-40B4-BE49-F238E27FC236}">
              <a16:creationId xmlns:a16="http://schemas.microsoft.com/office/drawing/2014/main" id="{B416A22A-A9B6-4F2F-3928-FCAA533CE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068300" y="15944850"/>
          <a:ext cx="3829584" cy="1714739"/>
        </a:xfrm>
        <a:prstGeom prst="rect">
          <a:avLst/>
        </a:prstGeom>
      </xdr:spPr>
    </xdr:pic>
    <xdr:clientData/>
  </xdr:twoCellAnchor>
  <xdr:twoCellAnchor editAs="oneCell">
    <xdr:from>
      <xdr:col>5</xdr:col>
      <xdr:colOff>1057275</xdr:colOff>
      <xdr:row>17</xdr:row>
      <xdr:rowOff>76200</xdr:rowOff>
    </xdr:from>
    <xdr:to>
      <xdr:col>20</xdr:col>
      <xdr:colOff>277669</xdr:colOff>
      <xdr:row>18</xdr:row>
      <xdr:rowOff>66769</xdr:rowOff>
    </xdr:to>
    <xdr:pic>
      <xdr:nvPicPr>
        <xdr:cNvPr id="18" name="Hình ảnh 17">
          <a:extLst>
            <a:ext uri="{FF2B5EF4-FFF2-40B4-BE49-F238E27FC236}">
              <a16:creationId xmlns:a16="http://schemas.microsoft.com/office/drawing/2014/main" id="{0AC87C35-A865-45BC-ACF1-F1DE6253A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58775" y="19145250"/>
          <a:ext cx="10345594" cy="67636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400404</xdr:colOff>
      <xdr:row>16</xdr:row>
      <xdr:rowOff>1428949</xdr:rowOff>
    </xdr:to>
    <xdr:pic>
      <xdr:nvPicPr>
        <xdr:cNvPr id="19" name="Hình ảnh 18">
          <a:extLst>
            <a:ext uri="{FF2B5EF4-FFF2-40B4-BE49-F238E27FC236}">
              <a16:creationId xmlns:a16="http://schemas.microsoft.com/office/drawing/2014/main" id="{CDF5A7F2-5209-ACF8-334F-B8AFDDF69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68300" y="17592675"/>
          <a:ext cx="2534004" cy="14289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18</xdr:col>
      <xdr:colOff>458498</xdr:colOff>
      <xdr:row>21</xdr:row>
      <xdr:rowOff>971686</xdr:rowOff>
    </xdr:to>
    <xdr:pic>
      <xdr:nvPicPr>
        <xdr:cNvPr id="20" name="Hình ảnh 19">
          <a:extLst>
            <a:ext uri="{FF2B5EF4-FFF2-40B4-BE49-F238E27FC236}">
              <a16:creationId xmlns:a16="http://schemas.microsoft.com/office/drawing/2014/main" id="{2C480788-B9D1-74A2-7E3A-71B096EF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068300" y="21812250"/>
          <a:ext cx="9297698" cy="9716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10</xdr:col>
      <xdr:colOff>29132</xdr:colOff>
      <xdr:row>23</xdr:row>
      <xdr:rowOff>1857634</xdr:rowOff>
    </xdr:to>
    <xdr:pic>
      <xdr:nvPicPr>
        <xdr:cNvPr id="21" name="Hình ảnh 20">
          <a:extLst>
            <a:ext uri="{FF2B5EF4-FFF2-40B4-BE49-F238E27FC236}">
              <a16:creationId xmlns:a16="http://schemas.microsoft.com/office/drawing/2014/main" id="{30A4E1D4-27A4-8DC2-B42B-625A715C6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68300" y="23764875"/>
          <a:ext cx="3991532" cy="185763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19</xdr:col>
      <xdr:colOff>106108</xdr:colOff>
      <xdr:row>24</xdr:row>
      <xdr:rowOff>3315163</xdr:rowOff>
    </xdr:to>
    <xdr:pic>
      <xdr:nvPicPr>
        <xdr:cNvPr id="22" name="Hình ảnh 21">
          <a:extLst>
            <a:ext uri="{FF2B5EF4-FFF2-40B4-BE49-F238E27FC236}">
              <a16:creationId xmlns:a16="http://schemas.microsoft.com/office/drawing/2014/main" id="{36BC39FE-074C-CCEA-6A8F-CB743442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068300" y="25641300"/>
          <a:ext cx="9554908" cy="33151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20</xdr:col>
      <xdr:colOff>458668</xdr:colOff>
      <xdr:row>25</xdr:row>
      <xdr:rowOff>2734057</xdr:rowOff>
    </xdr:to>
    <xdr:pic>
      <xdr:nvPicPr>
        <xdr:cNvPr id="23" name="Hình ảnh 22">
          <a:extLst>
            <a:ext uri="{FF2B5EF4-FFF2-40B4-BE49-F238E27FC236}">
              <a16:creationId xmlns:a16="http://schemas.microsoft.com/office/drawing/2014/main" id="{B824676F-2CAE-F03B-E36D-CCA4BF1C8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068300" y="29079825"/>
          <a:ext cx="10517068" cy="2734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2" topLeftCell="A24" activePane="bottomLeft" state="frozen"/>
      <selection pane="bottomLeft" activeCell="C26" sqref="C26"/>
    </sheetView>
  </sheetViews>
  <sheetFormatPr defaultRowHeight="15" x14ac:dyDescent="0.25"/>
  <cols>
    <col min="1" max="1" width="12" customWidth="1"/>
    <col min="2" max="2" width="20" customWidth="1"/>
    <col min="3" max="3" width="48" customWidth="1"/>
    <col min="4" max="4" width="58" customWidth="1"/>
    <col min="5" max="5" width="42" customWidth="1"/>
    <col min="6" max="6" width="16" customWidth="1"/>
    <col min="7" max="7" width="32" customWidth="1"/>
  </cols>
  <sheetData>
    <row r="1" spans="1:7" ht="30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4" customHeight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3" t="s">
        <v>95</v>
      </c>
      <c r="G3" s="2"/>
    </row>
    <row r="4" spans="1:7" ht="54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3" t="s">
        <v>95</v>
      </c>
      <c r="G4" s="2"/>
    </row>
    <row r="5" spans="1:7" ht="132" customHeight="1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  <c r="F5" s="3" t="s">
        <v>95</v>
      </c>
      <c r="G5" s="2"/>
    </row>
    <row r="6" spans="1:7" ht="54" customHeight="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24</v>
      </c>
      <c r="F6" s="3" t="s">
        <v>95</v>
      </c>
      <c r="G6" s="2"/>
    </row>
    <row r="7" spans="1:7" ht="54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28</v>
      </c>
      <c r="F7" s="3" t="s">
        <v>95</v>
      </c>
      <c r="G7" s="2"/>
    </row>
    <row r="8" spans="1:7" ht="112.5" customHeight="1" x14ac:dyDescent="0.25">
      <c r="A8" s="2" t="s">
        <v>29</v>
      </c>
      <c r="B8" s="2" t="s">
        <v>26</v>
      </c>
      <c r="C8" s="2" t="s">
        <v>30</v>
      </c>
      <c r="D8" s="2" t="s">
        <v>31</v>
      </c>
      <c r="E8" s="2" t="s">
        <v>31</v>
      </c>
      <c r="F8" s="3" t="s">
        <v>95</v>
      </c>
      <c r="G8" s="2"/>
    </row>
    <row r="9" spans="1:7" ht="54" customHeight="1" x14ac:dyDescent="0.25">
      <c r="A9" s="2" t="s">
        <v>32</v>
      </c>
      <c r="B9" s="2" t="s">
        <v>26</v>
      </c>
      <c r="C9" s="2" t="s">
        <v>33</v>
      </c>
      <c r="D9" s="2" t="s">
        <v>34</v>
      </c>
      <c r="E9" s="2" t="s">
        <v>34</v>
      </c>
      <c r="F9" s="3" t="s">
        <v>95</v>
      </c>
      <c r="G9" s="2"/>
    </row>
    <row r="10" spans="1:7" ht="116.25" customHeight="1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38</v>
      </c>
      <c r="F10" s="3" t="s">
        <v>95</v>
      </c>
      <c r="G10" s="2"/>
    </row>
    <row r="11" spans="1:7" ht="134.25" customHeight="1" x14ac:dyDescent="0.25">
      <c r="A11" s="2" t="s">
        <v>39</v>
      </c>
      <c r="B11" s="2" t="s">
        <v>36</v>
      </c>
      <c r="C11" s="2" t="s">
        <v>30</v>
      </c>
      <c r="D11" s="2" t="s">
        <v>40</v>
      </c>
      <c r="E11" s="2" t="s">
        <v>40</v>
      </c>
      <c r="F11" s="3" t="s">
        <v>95</v>
      </c>
      <c r="G11" s="2"/>
    </row>
    <row r="12" spans="1:7" ht="108" customHeight="1" x14ac:dyDescent="0.25">
      <c r="A12" s="2" t="s">
        <v>41</v>
      </c>
      <c r="B12" s="2" t="s">
        <v>36</v>
      </c>
      <c r="C12" s="2" t="s">
        <v>42</v>
      </c>
      <c r="D12" s="2" t="s">
        <v>43</v>
      </c>
      <c r="E12" s="2" t="s">
        <v>43</v>
      </c>
      <c r="F12" s="3" t="s">
        <v>95</v>
      </c>
      <c r="G12" s="2"/>
    </row>
    <row r="13" spans="1:7" ht="141.75" customHeight="1" x14ac:dyDescent="0.25">
      <c r="A13" s="2" t="s">
        <v>44</v>
      </c>
      <c r="B13" s="2" t="s">
        <v>36</v>
      </c>
      <c r="C13" s="2" t="s">
        <v>45</v>
      </c>
      <c r="D13" s="2" t="s">
        <v>46</v>
      </c>
      <c r="E13" s="2" t="s">
        <v>46</v>
      </c>
      <c r="F13" s="3" t="s">
        <v>95</v>
      </c>
      <c r="G13" s="2"/>
    </row>
    <row r="14" spans="1:7" ht="93.75" customHeight="1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50</v>
      </c>
      <c r="F14" s="3" t="s">
        <v>95</v>
      </c>
      <c r="G14" s="2"/>
    </row>
    <row r="15" spans="1:7" ht="102" customHeight="1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54</v>
      </c>
      <c r="F15" s="3" t="s">
        <v>95</v>
      </c>
      <c r="G15" s="2"/>
    </row>
    <row r="16" spans="1:7" ht="129.75" customHeight="1" x14ac:dyDescent="0.25">
      <c r="A16" s="2" t="s">
        <v>55</v>
      </c>
      <c r="B16" s="2" t="s">
        <v>52</v>
      </c>
      <c r="C16" s="2" t="s">
        <v>56</v>
      </c>
      <c r="D16" s="2" t="s">
        <v>57</v>
      </c>
      <c r="E16" s="2" t="s">
        <v>57</v>
      </c>
      <c r="F16" s="3" t="s">
        <v>95</v>
      </c>
      <c r="G16" s="2"/>
    </row>
    <row r="17" spans="1:7" ht="116.25" customHeight="1" x14ac:dyDescent="0.25">
      <c r="A17" s="2" t="s">
        <v>58</v>
      </c>
      <c r="B17" s="2" t="s">
        <v>52</v>
      </c>
      <c r="C17" s="2" t="s">
        <v>59</v>
      </c>
      <c r="D17" s="2" t="s">
        <v>60</v>
      </c>
      <c r="E17" s="2" t="s">
        <v>60</v>
      </c>
      <c r="F17" s="3" t="s">
        <v>95</v>
      </c>
      <c r="G17" s="2"/>
    </row>
    <row r="18" spans="1:7" ht="54" customHeight="1" x14ac:dyDescent="0.25">
      <c r="A18" s="2" t="s">
        <v>61</v>
      </c>
      <c r="B18" s="2" t="s">
        <v>52</v>
      </c>
      <c r="C18" s="2" t="s">
        <v>62</v>
      </c>
      <c r="D18" s="2" t="s">
        <v>63</v>
      </c>
      <c r="E18" s="2" t="s">
        <v>63</v>
      </c>
      <c r="F18" s="3" t="s">
        <v>95</v>
      </c>
      <c r="G18" s="2"/>
    </row>
    <row r="19" spans="1:7" ht="54" customHeight="1" x14ac:dyDescent="0.25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67</v>
      </c>
      <c r="F19" s="3" t="s">
        <v>95</v>
      </c>
      <c r="G19" s="2"/>
    </row>
    <row r="20" spans="1:7" ht="54" customHeight="1" x14ac:dyDescent="0.25">
      <c r="A20" s="2" t="s">
        <v>68</v>
      </c>
      <c r="B20" s="2" t="s">
        <v>65</v>
      </c>
      <c r="C20" s="2" t="s">
        <v>69</v>
      </c>
      <c r="D20" s="2" t="s">
        <v>70</v>
      </c>
      <c r="E20" s="2" t="s">
        <v>70</v>
      </c>
      <c r="F20" s="3" t="s">
        <v>95</v>
      </c>
      <c r="G20" s="2"/>
    </row>
    <row r="21" spans="1:7" ht="54" customHeight="1" x14ac:dyDescent="0.25">
      <c r="A21" s="2" t="s">
        <v>71</v>
      </c>
      <c r="B21" s="2" t="s">
        <v>65</v>
      </c>
      <c r="C21" s="2" t="s">
        <v>72</v>
      </c>
      <c r="D21" s="2" t="s">
        <v>73</v>
      </c>
      <c r="E21" s="2" t="s">
        <v>73</v>
      </c>
      <c r="F21" s="3" t="s">
        <v>95</v>
      </c>
      <c r="G21" s="2"/>
    </row>
    <row r="22" spans="1:7" ht="99.75" customHeight="1" x14ac:dyDescent="0.25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77</v>
      </c>
      <c r="F22" s="3" t="s">
        <v>95</v>
      </c>
      <c r="G22" s="2"/>
    </row>
    <row r="23" spans="1:7" ht="54" customHeight="1" x14ac:dyDescent="0.25">
      <c r="A23" s="2" t="s">
        <v>78</v>
      </c>
      <c r="B23" s="2" t="s">
        <v>75</v>
      </c>
      <c r="C23" s="2" t="s">
        <v>79</v>
      </c>
      <c r="D23" s="2" t="s">
        <v>80</v>
      </c>
      <c r="E23" s="2" t="s">
        <v>80</v>
      </c>
      <c r="F23" s="3" t="s">
        <v>95</v>
      </c>
      <c r="G23" s="2"/>
    </row>
    <row r="24" spans="1:7" ht="147.75" customHeight="1" x14ac:dyDescent="0.25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84</v>
      </c>
      <c r="F24" s="3" t="s">
        <v>95</v>
      </c>
      <c r="G24" s="2"/>
    </row>
    <row r="25" spans="1:7" ht="270.75" customHeight="1" x14ac:dyDescent="0.25">
      <c r="A25" s="2" t="s">
        <v>85</v>
      </c>
      <c r="B25" s="2" t="s">
        <v>86</v>
      </c>
      <c r="C25" s="2" t="s">
        <v>98</v>
      </c>
      <c r="D25" s="2" t="s">
        <v>87</v>
      </c>
      <c r="E25" s="2" t="s">
        <v>87</v>
      </c>
      <c r="F25" s="3" t="s">
        <v>95</v>
      </c>
      <c r="G25" s="2"/>
    </row>
    <row r="26" spans="1:7" ht="224.25" customHeight="1" x14ac:dyDescent="0.25">
      <c r="A26" s="2" t="s">
        <v>88</v>
      </c>
      <c r="B26" s="2" t="s">
        <v>89</v>
      </c>
      <c r="C26" s="2" t="s">
        <v>97</v>
      </c>
      <c r="D26" s="2" t="s">
        <v>90</v>
      </c>
      <c r="E26" s="2" t="s">
        <v>90</v>
      </c>
      <c r="F26" s="3" t="s">
        <v>95</v>
      </c>
      <c r="G26" s="2"/>
    </row>
  </sheetData>
  <autoFilter ref="A2:G26" xr:uid="{00000000-0009-0000-0000-000000000000}"/>
  <mergeCells count="1">
    <mergeCell ref="A1:G1"/>
  </mergeCells>
  <dataValidations count="1">
    <dataValidation type="list" sqref="F3:F26" xr:uid="{00000000-0002-0000-0000-000000000000}">
      <formula1>"Chưa chạy,Pass,Fail"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8" customWidth="1"/>
    <col min="2" max="2" width="18" customWidth="1"/>
  </cols>
  <sheetData>
    <row r="1" spans="1:2" ht="19.5" x14ac:dyDescent="0.3">
      <c r="A1" s="8" t="s">
        <v>91</v>
      </c>
      <c r="B1" s="7"/>
    </row>
    <row r="2" spans="1:2" x14ac:dyDescent="0.25">
      <c r="A2" s="4" t="s">
        <v>92</v>
      </c>
      <c r="B2" s="4" t="s">
        <v>93</v>
      </c>
    </row>
    <row r="3" spans="1:2" x14ac:dyDescent="0.25">
      <c r="A3" s="5" t="s">
        <v>94</v>
      </c>
      <c r="B3" s="5">
        <f>COUNTA('Kiem thu TC01-TC24'!A3:A26)</f>
        <v>24</v>
      </c>
    </row>
    <row r="4" spans="1:2" x14ac:dyDescent="0.25">
      <c r="A4" s="5" t="s">
        <v>95</v>
      </c>
      <c r="B4" s="5">
        <f>COUNTIF('Kiem thu TC01-TC24'!F3:F26,"Pass")</f>
        <v>24</v>
      </c>
    </row>
    <row r="5" spans="1:2" x14ac:dyDescent="0.25">
      <c r="A5" s="5" t="s">
        <v>96</v>
      </c>
      <c r="B5" s="5">
        <f>COUNTIF('Kiem thu TC01-TC24'!F3:F26,"Fail")</f>
        <v>0</v>
      </c>
    </row>
    <row r="6" spans="1:2" x14ac:dyDescent="0.25">
      <c r="A6" s="5" t="s">
        <v>12</v>
      </c>
      <c r="B6" s="5">
        <f>COUNTIF('Kiem thu TC01-TC24'!F3:F26,"Chưa chạy")</f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Kiem thu TC01-TC24</vt:lpstr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</cp:lastModifiedBy>
  <dcterms:created xsi:type="dcterms:W3CDTF">2026-10-09T12:48:48Z</dcterms:created>
  <dcterms:modified xsi:type="dcterms:W3CDTF">2026-10-09T13:25:11Z</dcterms:modified>
</cp:coreProperties>
</file>
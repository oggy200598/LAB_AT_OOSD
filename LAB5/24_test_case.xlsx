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ggy2\OneDrive\Máy tính\LAB_AT_OOSD\LAB5\"/>
    </mc:Choice>
  </mc:AlternateContent>
  <xr:revisionPtr revIDLastSave="0" documentId="13_ncr:1_{59D8A014-D528-4DEB-A5D2-2878E56769F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Kiem thu TC01-TC24" sheetId="1" r:id="rId1"/>
    <sheet name="Tong hop" sheetId="2" r:id="rId2"/>
  </sheets>
  <definedNames>
    <definedName name="_xlnm._FilterDatabase" localSheetId="0" hidden="1">'Kiem thu TC01-TC24'!$A$2:$G$26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</calcChain>
</file>

<file path=xl/sharedStrings.xml><?xml version="1.0" encoding="utf-8"?>
<sst xmlns="http://schemas.openxmlformats.org/spreadsheetml/2006/main" count="135" uniqueCount="99">
  <si>
    <t>BẢNG KIỂM THỬ 24 TEST CASE – QUẢN LÝ CÔNG TY DU LỊCH</t>
  </si>
  <si>
    <t>Mã TC</t>
  </si>
  <si>
    <t>Chức năng</t>
  </si>
  <si>
    <t>Dữ liệu / điều kiện kiểm thử</t>
  </si>
  <si>
    <t>Kết quả mong đợi</t>
  </si>
  <si>
    <t>Kết quả thực tế</t>
  </si>
  <si>
    <t>Trạng thái</t>
  </si>
  <si>
    <t>Ghi chú / bằng chứng</t>
  </si>
  <si>
    <t>TC01</t>
  </si>
  <si>
    <t>Danh mục</t>
  </si>
  <si>
    <t>Thêm HDV04, lương 9.000.000</t>
  </si>
  <si>
    <t>Đã thêm hướng dẫn viên.</t>
  </si>
  <si>
    <t>Chưa chạy</t>
  </si>
  <si>
    <t>TC02</t>
  </si>
  <si>
    <t>Tour</t>
  </si>
  <si>
    <t>Thêm T004 Phú Quốc, 3 ngày 2 đêm, 5.500.000</t>
  </si>
  <si>
    <t>Đã thêm tour.</t>
  </si>
  <si>
    <t>TC03</t>
  </si>
  <si>
    <t>Điểm dừng</t>
  </si>
  <si>
    <t>T001, thứ tự 2 (đã có)</t>
  </si>
  <si>
    <t>Từ chối: trùng khóa (MaTour, ThuTu).</t>
  </si>
  <si>
    <t>TC04</t>
  </si>
  <si>
    <t>Chuyến lẻ</t>
  </si>
  <si>
    <t>CL004, tour T001, đi 15/12/2026</t>
  </si>
  <si>
    <t>Đã tạo chuyến; ngày về 17/12/2026.</t>
  </si>
  <si>
    <t>TC05</t>
  </si>
  <si>
    <t>Đăng ký lẻ</t>
  </si>
  <si>
    <t>DKL003, CL002, 4 người</t>
  </si>
  <si>
    <t>Đã đăng ký và thanh toán vé. Thành tiền: 10.000.000 đ.</t>
  </si>
  <si>
    <t>TC06</t>
  </si>
  <si>
    <t>12 người</t>
  </si>
  <si>
    <t>numNguoi giới hạn 1–11; Service từ chối (QD01).</t>
  </si>
  <si>
    <t>TC07</t>
  </si>
  <si>
    <t>Chuyến CL001 (Đóng đăng ký)</t>
  </si>
  <si>
    <t>Không có trong danh sách; Service: chuyến đã đóng đăng ký.</t>
  </si>
  <si>
    <t>TC08</t>
  </si>
  <si>
    <t>Đăng ký đoàn</t>
  </si>
  <si>
    <t>DD003, T003, 15 người, đi 05/01/2027, cọc 30.000.000</t>
  </si>
  <si>
    <t>Thành công; kết thúc 09/01/2027; tổng 133.500.000 đ.</t>
  </si>
  <si>
    <t>TC09</t>
  </si>
  <si>
    <t>numNguoi tối thiểu 13; Service từ chối (QD01).</t>
  </si>
  <si>
    <t>TC10</t>
  </si>
  <si>
    <t>Mua bảo hiểm, 15 người, danh sách 14 người</t>
  </si>
  <si>
    <t>Đoàn mua bảo hiểm phải kèm danh sách đủ 15 người cùng đi.</t>
  </si>
  <si>
    <t>TC11</t>
  </si>
  <si>
    <t>Tiền cọc 0</t>
  </si>
  <si>
    <t>Khách đoàn phải đặt cọc trước một khoản tiền.</t>
  </si>
  <si>
    <t>TC12</t>
  </si>
  <si>
    <t>Hủy đoàn</t>
  </si>
  <si>
    <t>DD002 (đi 10/12/2026)</t>
  </si>
  <si>
    <t>Trạng thái “Hủy - mất cọc”; phân công của đoàn bị gỡ.</t>
  </si>
  <si>
    <t>TC13</t>
  </si>
  <si>
    <t>Phân công</t>
  </si>
  <si>
    <t>PC004: HDV01 cho CL002, thù lao 1.500.000</t>
  </si>
  <si>
    <t>Đã phân công hướng dẫn viên.</t>
  </si>
  <si>
    <t>TC14</t>
  </si>
  <si>
    <t>Thêm HDV khác cho CL002</t>
  </si>
  <si>
    <t>CL002 không còn trong danh sách; mỗi chuyến khách lẻ chỉ được phân công một hướng dẫn viên.</t>
  </si>
  <si>
    <t>TC15</t>
  </si>
  <si>
    <t>HDV02 cho DD001 (trùng 10–12/09 với PC002 của HDV02)</t>
  </si>
  <si>
    <t>Thông báo hướng dẫn viên bị chồng chéo lịch.</t>
  </si>
  <si>
    <t>TC16</t>
  </si>
  <si>
    <t>HDV01 cho DD001 (10–12/09; HDV01 có CL001 05–07/09)</t>
  </si>
  <si>
    <t>Thành công; đoàn DD001 có 3 HDV.</t>
  </si>
  <si>
    <t>TC17</t>
  </si>
  <si>
    <t>Thanh toán đoàn</t>
  </si>
  <si>
    <t>DD001, 50.000.000, ngày 15/09/2026</t>
  </si>
  <si>
    <t>Từ chối: số tiền vượt số còn phải thanh toán (40.000.000 đ).</t>
  </si>
  <si>
    <t>TC18</t>
  </si>
  <si>
    <t>DD001, 40.000.000, ngày 15/09/2026</t>
  </si>
  <si>
    <t>Thông báo đoàn đã hoàn tất thanh toán.</t>
  </si>
  <si>
    <t>TC19</t>
  </si>
  <si>
    <t>DD003, ngày trước 09/01/2027</t>
  </si>
  <si>
    <t>Kinh phí đoàn chỉ thanh toán sau khi kết thúc chuyến tham quan.</t>
  </si>
  <si>
    <t>TC20</t>
  </si>
  <si>
    <t>Khảo sát</t>
  </si>
  <si>
    <t>KS002 cho DD001, gửi 15/09/2026</t>
  </si>
  <si>
    <t>Đã gửi phiếu khảo sát KS002.</t>
  </si>
  <si>
    <t>TC21</t>
  </si>
  <si>
    <t>DKL002 (chuyến CL002 chưa kết thúc)</t>
  </si>
  <si>
    <t>Không có trong danh sách; chỉ gửi sau khi kết thúc tour.</t>
  </si>
  <si>
    <t>TC22</t>
  </si>
  <si>
    <t>Góp ý</t>
  </si>
  <si>
    <t>KS002, điểm 4, góp ý “Lịch trình hợp lý”</t>
  </si>
  <si>
    <t>Đã ghi nhận góp ý của khách hàng.</t>
  </si>
  <si>
    <t>TC23</t>
  </si>
  <si>
    <t>Lương</t>
  </si>
  <si>
    <t>Tháng 9/2026 (dữ liệu mẫu)</t>
  </si>
  <si>
    <t>HDV01: 10.500.000; HDV02: 11.500.000; HDV03: 10.500.000.</t>
  </si>
  <si>
    <t>TC24</t>
  </si>
  <si>
    <t>Thống kê</t>
  </si>
  <si>
    <t>01/01/2026–01/10/2026</t>
  </si>
  <si>
    <t>Bảng 5 chỉ số; đăng ký lẻ 2 phiếu, 12.500.000 đ.</t>
  </si>
  <si>
    <t>TỔNG HỢP KẾT QUẢ KIỂM THỬ</t>
  </si>
  <si>
    <t>Chỉ tiêu</t>
  </si>
  <si>
    <t>Số lượng</t>
  </si>
  <si>
    <t>Tổng test case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</si>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</sst>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b/>
      <sz val="11"/>
      <color rgb="FFFFFFFF"/>
      <name val="Calibri"/>
    </font>
    <font>
      <b/>
      <sz val="15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AF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3" borderId="0" xfId="0" applyFont="1" applyFill="1"/>
    <xf numFmtId="0" fontId="0" fillId="0" borderId="1" xfId="0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0" xfId="0" applyFont="1" applyFill="1" applyAlignment="1">
      <alignment horizontal="center"/>
    </xf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pane ySplit="2" topLeftCell="A12" activePane="bottomLeft" state="frozen"/>
      <selection pane="bottomLeft" activeCell="H25" sqref="H25"/>
    </sheetView>
  </sheetViews>
  <sheetFormatPr defaultRowHeight="15" x14ac:dyDescent="0.25"/>
  <cols>
    <col min="1" max="1" width="12" customWidth="1"/>
    <col min="2" max="2" width="20" customWidth="1"/>
    <col min="3" max="3" width="48" customWidth="1"/>
    <col min="4" max="4" width="58" customWidth="1"/>
    <col min="5" max="5" width="42" customWidth="1"/>
    <col min="6" max="6" width="16" customWidth="1"/>
    <col min="7" max="7" width="32" customWidth="1"/>
  </cols>
  <sheetData>
    <row r="1" spans="1:7" ht="30" customHeight="1" x14ac:dyDescent="0.25">
      <c r="A1" s="6" t="s">
        <v>0</v>
      </c>
      <c r="B1" s="7"/>
      <c r="C1" s="7"/>
      <c r="D1" s="7"/>
      <c r="E1" s="7"/>
      <c r="F1" s="7"/>
      <c r="G1" s="7"/>
    </row>
    <row r="2" spans="1:7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54" customHeight="1" x14ac:dyDescent="0.25">
      <c r="A3" s="2" t="s">
        <v>8</v>
      </c>
      <c r="B3" s="2" t="s">
        <v>9</v>
      </c>
      <c r="C3" s="2" t="s">
        <v>10</v>
      </c>
      <c r="D3" s="2" t="s">
        <v>11</v>
      </c>
      <c r="E3" s="2"/>
      <c r="F3" s="3" t="s">
        <v>97</v>
      </c>
      <c r="G3" s="2"/>
    </row>
    <row r="4" spans="1:7" ht="54" customHeight="1" x14ac:dyDescent="0.25">
      <c r="A4" s="2" t="s">
        <v>13</v>
      </c>
      <c r="B4" s="2" t="s">
        <v>14</v>
      </c>
      <c r="C4" s="2" t="s">
        <v>15</v>
      </c>
      <c r="D4" s="2" t="s">
        <v>16</v>
      </c>
      <c r="E4" s="2"/>
      <c r="F4" s="3" t="s">
        <v>97</v>
      </c>
      <c r="G4" s="2"/>
    </row>
    <row r="5" spans="1:7" ht="54" customHeight="1" x14ac:dyDescent="0.25">
      <c r="A5" s="2" t="s">
        <v>17</v>
      </c>
      <c r="B5" s="2" t="s">
        <v>18</v>
      </c>
      <c r="C5" s="2" t="s">
        <v>19</v>
      </c>
      <c r="D5" s="2" t="s">
        <v>20</v>
      </c>
      <c r="E5" s="2"/>
      <c r="F5" s="3" t="s">
        <v>97</v>
      </c>
      <c r="G5" s="2"/>
    </row>
    <row r="6" spans="1:7" ht="54" customHeight="1" x14ac:dyDescent="0.25">
      <c r="A6" s="2" t="s">
        <v>21</v>
      </c>
      <c r="B6" s="2" t="s">
        <v>22</v>
      </c>
      <c r="C6" s="2" t="s">
        <v>23</v>
      </c>
      <c r="D6" s="2" t="s">
        <v>24</v>
      </c>
      <c r="E6" s="2"/>
      <c r="F6" s="3" t="s">
        <v>97</v>
      </c>
      <c r="G6" s="2"/>
    </row>
    <row r="7" spans="1:7" ht="54" customHeight="1" x14ac:dyDescent="0.25">
      <c r="A7" s="2" t="s">
        <v>25</v>
      </c>
      <c r="B7" s="2" t="s">
        <v>26</v>
      </c>
      <c r="C7" s="2" t="s">
        <v>27</v>
      </c>
      <c r="D7" s="2" t="s">
        <v>28</v>
      </c>
      <c r="E7" s="2"/>
      <c r="F7" s="3" t="s">
        <v>97</v>
      </c>
      <c r="G7" s="2"/>
    </row>
    <row r="8" spans="1:7" ht="54" customHeight="1" x14ac:dyDescent="0.25">
      <c r="A8" s="2" t="s">
        <v>29</v>
      </c>
      <c r="B8" s="2" t="s">
        <v>26</v>
      </c>
      <c r="C8" s="2" t="s">
        <v>30</v>
      </c>
      <c r="D8" s="2" t="s">
        <v>31</v>
      </c>
      <c r="E8" s="2"/>
      <c r="F8" s="3" t="s">
        <v>97</v>
      </c>
      <c r="G8" s="2"/>
    </row>
    <row r="9" spans="1:7" ht="54" customHeight="1" x14ac:dyDescent="0.25">
      <c r="A9" s="2" t="s">
        <v>32</v>
      </c>
      <c r="B9" s="2" t="s">
        <v>26</v>
      </c>
      <c r="C9" s="2" t="s">
        <v>33</v>
      </c>
      <c r="D9" s="2" t="s">
        <v>34</v>
      </c>
      <c r="E9" s="2"/>
      <c r="F9" s="3" t="s">
        <v>97</v>
      </c>
      <c r="G9" s="2"/>
    </row>
    <row r="10" spans="1:7" ht="54" customHeight="1" x14ac:dyDescent="0.25">
      <c r="A10" s="2" t="s">
        <v>35</v>
      </c>
      <c r="B10" s="2" t="s">
        <v>36</v>
      </c>
      <c r="C10" s="2" t="s">
        <v>37</v>
      </c>
      <c r="D10" s="2" t="s">
        <v>38</v>
      </c>
      <c r="E10" s="2"/>
      <c r="F10" s="3" t="s">
        <v>97</v>
      </c>
      <c r="G10" s="2"/>
    </row>
    <row r="11" spans="1:7" ht="54" customHeight="1" x14ac:dyDescent="0.25">
      <c r="A11" s="2" t="s">
        <v>39</v>
      </c>
      <c r="B11" s="2" t="s">
        <v>36</v>
      </c>
      <c r="C11" s="2" t="s">
        <v>30</v>
      </c>
      <c r="D11" s="2" t="s">
        <v>40</v>
      </c>
      <c r="E11" s="2"/>
      <c r="F11" s="3" t="s">
        <v>97</v>
      </c>
      <c r="G11" s="2"/>
    </row>
    <row r="12" spans="1:7" ht="54" customHeight="1" x14ac:dyDescent="0.25">
      <c r="A12" s="2" t="s">
        <v>41</v>
      </c>
      <c r="B12" s="2" t="s">
        <v>36</v>
      </c>
      <c r="C12" s="2" t="s">
        <v>42</v>
      </c>
      <c r="D12" s="2" t="s">
        <v>43</v>
      </c>
      <c r="E12" s="2"/>
      <c r="F12" s="3" t="s">
        <v>97</v>
      </c>
      <c r="G12" s="2"/>
    </row>
    <row r="13" spans="1:7" ht="54" customHeight="1" x14ac:dyDescent="0.25">
      <c r="A13" s="2" t="s">
        <v>44</v>
      </c>
      <c r="B13" s="2" t="s">
        <v>36</v>
      </c>
      <c r="C13" s="2" t="s">
        <v>45</v>
      </c>
      <c r="D13" s="2" t="s">
        <v>46</v>
      </c>
      <c r="E13" s="2"/>
      <c r="F13" s="3" t="s">
        <v>97</v>
      </c>
      <c r="G13" s="2"/>
    </row>
    <row r="14" spans="1:7" ht="54" customHeight="1" x14ac:dyDescent="0.25">
      <c r="A14" s="2" t="s">
        <v>47</v>
      </c>
      <c r="B14" s="2" t="s">
        <v>48</v>
      </c>
      <c r="C14" s="2" t="s">
        <v>49</v>
      </c>
      <c r="D14" s="2" t="s">
        <v>50</v>
      </c>
      <c r="E14" s="2"/>
      <c r="F14" s="3" t="s">
        <v>97</v>
      </c>
      <c r="G14" s="2"/>
    </row>
    <row r="15" spans="1:7" ht="54" customHeight="1" x14ac:dyDescent="0.25">
      <c r="A15" s="2" t="s">
        <v>51</v>
      </c>
      <c r="B15" s="2" t="s">
        <v>52</v>
      </c>
      <c r="C15" s="2" t="s">
        <v>53</v>
      </c>
      <c r="D15" s="2" t="s">
        <v>54</v>
      </c>
      <c r="E15" s="2"/>
      <c r="F15" s="3" t="s">
        <v>97</v>
      </c>
      <c r="G15" s="2"/>
    </row>
    <row r="16" spans="1:7" ht="54" customHeight="1" x14ac:dyDescent="0.25">
      <c r="A16" s="2" t="s">
        <v>55</v>
      </c>
      <c r="B16" s="2" t="s">
        <v>52</v>
      </c>
      <c r="C16" s="2" t="s">
        <v>56</v>
      </c>
      <c r="D16" s="2" t="s">
        <v>57</v>
      </c>
      <c r="E16" s="2"/>
      <c r="F16" s="3" t="s">
        <v>97</v>
      </c>
      <c r="G16" s="2"/>
    </row>
    <row r="17" spans="1:7" ht="54" customHeight="1" x14ac:dyDescent="0.25">
      <c r="A17" s="2" t="s">
        <v>58</v>
      </c>
      <c r="B17" s="2" t="s">
        <v>52</v>
      </c>
      <c r="C17" s="2" t="s">
        <v>59</v>
      </c>
      <c r="D17" s="2" t="s">
        <v>60</v>
      </c>
      <c r="E17" s="2"/>
      <c r="F17" s="3" t="s">
        <v>97</v>
      </c>
      <c r="G17" s="2"/>
    </row>
    <row r="18" spans="1:7" ht="54" customHeight="1" x14ac:dyDescent="0.25">
      <c r="A18" s="2" t="s">
        <v>61</v>
      </c>
      <c r="B18" s="2" t="s">
        <v>52</v>
      </c>
      <c r="C18" s="2" t="s">
        <v>62</v>
      </c>
      <c r="D18" s="2" t="s">
        <v>63</v>
      </c>
      <c r="E18" s="2"/>
      <c r="F18" s="3" t="s">
        <v>97</v>
      </c>
      <c r="G18" s="2"/>
    </row>
    <row r="19" spans="1:7" ht="54" customHeight="1" x14ac:dyDescent="0.25">
      <c r="A19" s="2" t="s">
        <v>64</v>
      </c>
      <c r="B19" s="2" t="s">
        <v>65</v>
      </c>
      <c r="C19" s="2" t="s">
        <v>66</v>
      </c>
      <c r="D19" s="2" t="s">
        <v>67</v>
      </c>
      <c r="E19" s="2"/>
      <c r="F19" s="3" t="s">
        <v>97</v>
      </c>
      <c r="G19" s="2"/>
    </row>
    <row r="20" spans="1:7" ht="54" customHeight="1" x14ac:dyDescent="0.25">
      <c r="A20" s="2" t="s">
        <v>68</v>
      </c>
      <c r="B20" s="2" t="s">
        <v>65</v>
      </c>
      <c r="C20" s="2" t="s">
        <v>69</v>
      </c>
      <c r="D20" s="2" t="s">
        <v>70</v>
      </c>
      <c r="E20" s="2"/>
      <c r="F20" s="3" t="s">
        <v>97</v>
      </c>
      <c r="G20" s="2"/>
    </row>
    <row r="21" spans="1:7" ht="54" customHeight="1" x14ac:dyDescent="0.25">
      <c r="A21" s="2" t="s">
        <v>71</v>
      </c>
      <c r="B21" s="2" t="s">
        <v>65</v>
      </c>
      <c r="C21" s="2" t="s">
        <v>72</v>
      </c>
      <c r="D21" s="2" t="s">
        <v>73</v>
      </c>
      <c r="E21" s="2"/>
      <c r="F21" s="3" t="s">
        <v>97</v>
      </c>
      <c r="G21" s="2"/>
    </row>
    <row r="22" spans="1:7" ht="54" customHeight="1" x14ac:dyDescent="0.25">
      <c r="A22" s="2" t="s">
        <v>74</v>
      </c>
      <c r="B22" s="2" t="s">
        <v>75</v>
      </c>
      <c r="C22" s="2" t="s">
        <v>76</v>
      </c>
      <c r="D22" s="2" t="s">
        <v>77</v>
      </c>
      <c r="E22" s="2"/>
      <c r="F22" s="3" t="s">
        <v>97</v>
      </c>
      <c r="G22" s="2"/>
    </row>
    <row r="23" spans="1:7" ht="54" customHeight="1" x14ac:dyDescent="0.25">
      <c r="A23" s="2" t="s">
        <v>78</v>
      </c>
      <c r="B23" s="2" t="s">
        <v>75</v>
      </c>
      <c r="C23" s="2" t="s">
        <v>79</v>
      </c>
      <c r="D23" s="2" t="s">
        <v>80</v>
      </c>
      <c r="E23" s="2"/>
      <c r="F23" s="3" t="s">
        <v>97</v>
      </c>
      <c r="G23" s="2"/>
    </row>
    <row r="24" spans="1:7" ht="54" customHeight="1" x14ac:dyDescent="0.25">
      <c r="A24" s="2" t="s">
        <v>81</v>
      </c>
      <c r="B24" s="2" t="s">
        <v>82</v>
      </c>
      <c r="C24" s="2" t="s">
        <v>83</v>
      </c>
      <c r="D24" s="2" t="s">
        <v>84</v>
      </c>
      <c r="E24" s="2"/>
      <c r="F24" s="3" t="s">
        <v>97</v>
      </c>
      <c r="G24" s="2"/>
    </row>
    <row r="25" spans="1:7" ht="54" customHeight="1" x14ac:dyDescent="0.25">
      <c r="A25" s="2" t="s">
        <v>85</v>
      </c>
      <c r="B25" s="2" t="s">
        <v>86</v>
      </c>
      <c r="C25" s="2" t="s">
        <v>87</v>
      </c>
      <c r="D25" s="2" t="s">
        <v>88</v>
      </c>
      <c r="E25" s="2"/>
      <c r="F25" s="3" t="s">
        <v>97</v>
      </c>
      <c r="G25" s="2"/>
    </row>
    <row r="26" spans="1:7" ht="54" customHeight="1" x14ac:dyDescent="0.25">
      <c r="A26" s="2" t="s">
        <v>89</v>
      </c>
      <c r="B26" s="2" t="s">
        <v>90</v>
      </c>
      <c r="C26" s="2" t="s">
        <v>91</v>
      </c>
      <c r="D26" s="2" t="s">
        <v>92</v>
      </c>
      <c r="E26" s="2"/>
      <c r="F26" s="3" t="s">
        <v>97</v>
      </c>
      <c r="G26" s="2"/>
    </row>
  </sheetData>
  <autoFilter ref="A2:G26" xr:uid="{00000000-0009-0000-0000-000000000000}"/>
  <mergeCells count="1">
    <mergeCell ref="A1:G1"/>
  </mergeCells>
  <dataValidations count="1">
    <dataValidation type="list" sqref="F3:F26" xr:uid="{00000000-0002-0000-0000-000000000000}">
      <formula1>"Chưa chạy,Pass,Fail"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8" customWidth="1"/>
    <col min="2" max="2" width="18" customWidth="1"/>
  </cols>
  <sheetData>
    <row r="1" spans="1:2" ht="19.5" x14ac:dyDescent="0.3">
      <c r="A1" s="8" t="s">
        <v>93</v>
      </c>
      <c r="B1" s="7"/>
    </row>
    <row r="2" spans="1:2" x14ac:dyDescent="0.25">
      <c r="A2" s="4" t="s">
        <v>94</v>
      </c>
      <c r="B2" s="4" t="s">
        <v>95</v>
      </c>
    </row>
    <row r="3" spans="1:2" x14ac:dyDescent="0.25">
      <c r="A3" s="5" t="s">
        <v>96</v>
      </c>
      <c r="B3" s="5">
        <f>COUNTA('Kiem thu TC01-TC24'!A3:A26)</f>
        <v>24</v>
      </c>
    </row>
    <row r="4" spans="1:2" x14ac:dyDescent="0.25">
      <c r="A4" s="5" t="s">
        <v>97</v>
      </c>
      <c r="B4" s="5">
        <f>COUNTIF('Kiem thu TC01-TC24'!F3:F26,"Pass")</f>
        <v>24</v>
      </c>
    </row>
    <row r="5" spans="1:2" x14ac:dyDescent="0.25">
      <c r="A5" s="5" t="s">
        <v>98</v>
      </c>
      <c r="B5" s="5">
        <f>COUNTIF('Kiem thu TC01-TC24'!F3:F26,"Fail")</f>
        <v>0</v>
      </c>
    </row>
    <row r="6" spans="1:2" x14ac:dyDescent="0.25">
      <c r="A6" s="5" t="s">
        <v>12</v>
      </c>
      <c r="B6" s="5">
        <f>COUNTIF('Kiem thu TC01-TC24'!F3:F26,"Chưa chạy")</f>
        <v>0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Kiem thu TC01-TC24</vt:lpstr>
      <vt:lpstr>Tong hop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Huy Nguyễn</cp:lastModifiedBy>
  <dcterms:created xsi:type="dcterms:W3CDTF">2026-10-09T12:48:48Z</dcterms:created>
  <dcterms:modified xsi:type="dcterms:W3CDTF">2026-10-09T13:04:37Z</dcterms:modified>
</cp:coreProperties>
</file>
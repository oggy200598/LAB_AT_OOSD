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68c9d8f6894a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ea54712ccae1417d"/>
    <x:sheet xmlns:r="http://schemas.openxmlformats.org/officeDocument/2006/relationships" name="Ma trận truy vết" sheetId="2" r:id="R35df411557ee4e9d"/>
    <x:sheet xmlns:r="http://schemas.openxmlformats.org/officeDocument/2006/relationships" name="Tổng quan" sheetId="3" r:id="Rc2bd1517398047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</x:fills>
  <x:borders count="18">
    <x:border/>
    <x:border/>
    <x:border>
      <x:left style="thin">
        <x:color rgb="FFD0D7DE"/>
      </x:left>
      <x:top style="thin">
        <x:color rgb="FFD0D7DE"/>
      </x:top>
    </x:border>
    <x:border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</x:border>
    <x:border>
      <x:right style="thin">
        <x:color rgb="FFD0D7DE"/>
      </x:right>
    </x:border>
    <x:border>
      <x:left style="thin">
        <x:color rgb="FFD0D7DE"/>
      </x:left>
      <x:bottom style="thin">
        <x:color rgb="FFD0D7DE"/>
      </x:bottom>
    </x:border>
    <x:border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  <x:border>
      <x:left style="thin">
        <x:color rgb="FFD0D7DE"/>
      </x:left>
      <x:top style="thin">
        <x:color rgb="FFD0D7DE"/>
      </x:top>
    </x:border>
    <x:border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</x:border>
    <x:border>
      <x:right style="thin">
        <x:color rgb="FFD0D7DE"/>
      </x:right>
    </x:border>
    <x:border>
      <x:left style="thin">
        <x:color rgb="FFD0D7DE"/>
      </x:left>
      <x:bottom style="thin">
        <x:color rgb="FFD0D7DE"/>
      </x:bottom>
    </x:border>
    <x:border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3" borderId="10" xfId="0" applyNumberFormat="1" applyFont="1" applyFill="1" applyBorder="1" applyAlignment="1">
      <x:alignment horizontal="center" vertical="center" wrapText="1"/>
    </x:xf>
    <x:xf numFmtId="0" fontId="1" fillId="3" borderId="11" xfId="0" applyNumberFormat="1" applyFont="1" applyFill="1" applyBorder="1" applyAlignment="1">
      <x:alignment horizontal="center" vertical="center" wrapText="1"/>
    </x:xf>
    <x:xf numFmtId="0" fontId="1" fillId="3" borderId="12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2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1" fillId="4" borderId="10" xfId="0" applyNumberFormat="1" applyFont="1" applyFill="1" applyBorder="1" applyAlignment="1">
      <x:alignment horizontal="center"/>
    </x:xf>
    <x:xf numFmtId="0" fontId="1" fillId="4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7" xfId="0" applyNumberFormat="1" applyFont="1" applyFill="1" applyBorder="1"/>
  </x:cellXfs>
  <x:cellStyles count="1">
    <x:cellStyle name="Normal" xfId="0"/>
  </x:cellStyles>
  <x:dxfs count="5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295f6559dd4011" /><Relationship Type="http://schemas.openxmlformats.org/officeDocument/2006/relationships/theme" Target="/xl/theme/theme1.xml" Id="R85276baac8eb4fa7" /><Relationship Type="http://schemas.openxmlformats.org/officeDocument/2006/relationships/sharedStrings" Target="/xl/sharedStrings.xml" Id="R4649ce95e1284dad" /><Relationship Type="http://schemas.openxmlformats.org/officeDocument/2006/relationships/worksheet" Target="/xl/worksheets/sheet1.xml" Id="Rea54712ccae1417d" /><Relationship Type="http://schemas.openxmlformats.org/officeDocument/2006/relationships/worksheet" Target="/xl/worksheets/sheet2.xml" Id="R35df411557ee4e9d" /><Relationship Type="http://schemas.openxmlformats.org/officeDocument/2006/relationships/worksheet" Target="/xl/worksheets/sheet3.xml" Id="Rc2bd15173980479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ee7dd1d51744ed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Kết quả kiểm thử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Số lượng</c:v>
          </c:tx>
          <c:cat>
            <c:strRef>
              <c:f>'Tổng quan'!$D$4:$D$5</c:f>
              <c:strCache>
                <c:ptCount val="0"/>
              </c:strCache>
            </c:strRef>
          </c:cat>
          <c:val>
            <c:numRef>
              <c:f>'Tổng quan'!$E$4:$E$5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6</xdr:row>
      <xdr:rowOff>0</xdr:rowOff>
    </xdr:from>
    <xdr:to>
      <xdr:col>10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ee7dd1d51744ed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estCases" displayName="TestCases" ref="A1:J21" headerRowCount="1" totalsRowCount="0" totalsRowShown="0">
  <x:tableColumns count="10">
    <x:tableColumn id="1" name="Mã TC"/>
    <x:tableColumn id="2" name="Chức năng"/>
    <x:tableColumn id="3" name="Mục tiêu kiểm thử"/>
    <x:tableColumn id="4" name="Tiền điều kiện"/>
    <x:tableColumn id="5" name="Dữ liệu kiểm thử"/>
    <x:tableColumn id="6" name="Các bước thực hiện"/>
    <x:tableColumn id="7" name="Kết quả mong đợi"/>
    <x:tableColumn id="8" name="Kết quả thực tế"/>
    <x:tableColumn id="9" name="Trạng thái"/>
    <x:tableColumn id="10" name="Mức độ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aceability" displayName="Traceability" ref="A1:F8" headerRowCount="1" totalsRowCount="0" totalsRowShown="0">
  <x:tableColumns count="6">
    <x:tableColumn id="1" name="Mã yêu cầu"/>
    <x:tableColumn id="2" name="Yêu cầu"/>
    <x:tableColumn id="3" name="Use Case"/>
    <x:tableColumn id="4" name="Form/Service"/>
    <x:tableColumn id="5" name="Bảng CSDL"/>
    <x:tableColumn id="6" name="Test Ca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95580fae81545f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68402cc7d4e4b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c956409fd23348a5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7" hidden="0" customWidth="1"/>
    <x:col min="3" max="3" width="28" hidden="0" customWidth="1"/>
    <x:col min="4" max="4" width="26" hidden="0" customWidth="1"/>
    <x:col min="5" max="5" width="34" hidden="0" customWidth="1"/>
    <x:col min="6" max="6" width="34" hidden="0" customWidth="1"/>
    <x:col min="7" max="7" width="38" hidden="0" customWidth="1"/>
    <x:col min="8" max="8" width="28" hidden="0" customWidth="1"/>
    <x:col min="9" max="9" width="14" hidden="0" customWidth="1"/>
    <x:col min="10" max="10" width="12" hidden="0" customWidth="1"/>
  </x:cols>
  <x:sheetData>
    <x:row r="1" ht="34" customHeight="1">
      <x:c r="A1" s="14" t="str">
        <x:v>Mã TC</x:v>
      </x:c>
      <x:c r="B1" s="15" t="str">
        <x:v>Chức năng</x:v>
      </x:c>
      <x:c r="C1" s="15" t="str">
        <x:v>Mục tiêu kiểm thử</x:v>
      </x:c>
      <x:c r="D1" s="15" t="str">
        <x:v>Tiền điều kiện</x:v>
      </x:c>
      <x:c r="E1" s="15" t="str">
        <x:v>Dữ liệu kiểm thử</x:v>
      </x:c>
      <x:c r="F1" s="15" t="str">
        <x:v>Các bước thực hiện</x:v>
      </x:c>
      <x:c r="G1" s="15" t="str">
        <x:v>Kết quả mong đợi</x:v>
      </x:c>
      <x:c r="H1" s="15" t="str">
        <x:v>Kết quả thực tế</x:v>
      </x:c>
      <x:c r="I1" s="15" t="str">
        <x:v>Trạng thái</x:v>
      </x:c>
      <x:c r="J1" s="16" t="str">
        <x:v>Mức độ</x:v>
      </x:c>
    </x:row>
    <x:row r="2" ht="42" customHeight="1">
      <x:c r="A2" s="30" t="str">
        <x:v>TC01</x:v>
      </x:c>
      <x:c r="B2" s="31" t="str">
        <x:v>Đăng ký</x:v>
      </x:c>
      <x:c r="C2" s="31" t="str">
        <x:v>Đăng ký tài khoản với dữ liệu hợp lệ</x:v>
      </x:c>
      <x:c r="D2" s="31" t="str">
        <x:v>Mở FrmDangKy</x:v>
      </x:c>
      <x:c r="E2" s="31" t="str">
        <x:v>Họ tên, ngày sinh, CMND/Passport, địa chỉ, điện thoại, username, password, email hợp lệ</x:v>
      </x:c>
      <x:c r="F2" s="31" t="str">
        <x:v>Nhập đầy đủ thông tin → Nhấn Đăng ký</x:v>
      </x:c>
      <x:c r="G2" s="31" t="str">
        <x:v>Tài khoản được tạo thành công và lưu vào CSDL</x:v>
      </x:c>
      <x:c r="H2" s="31" t="str"/>
      <x:c r="I2" s="31" t="str">
        <x:v>Chưa test</x:v>
      </x:c>
      <x:c r="J2" s="32" t="str">
        <x:v>Cao</x:v>
      </x:c>
    </x:row>
    <x:row r="3" ht="42" customHeight="1">
      <x:c r="A3" s="30" t="str">
        <x:v>TC02</x:v>
      </x:c>
      <x:c r="B3" s="31" t="str">
        <x:v>Đăng ký</x:v>
      </x:c>
      <x:c r="C3" s="31" t="str">
        <x:v>Kiểm tra username bị trùng</x:v>
      </x:c>
      <x:c r="D3" s="31" t="str">
        <x:v>Đã có tài khoản cùng username</x:v>
      </x:c>
      <x:c r="E3" s="31" t="str">
        <x:v>Username đã tồn tại</x:v>
      </x:c>
      <x:c r="F3" s="31" t="str">
        <x:v>Nhập username đã tồn tại → Nhấn Đăng ký</x:v>
      </x:c>
      <x:c r="G3" s="31" t="str">
        <x:v>Hệ thống thông báo username đã tồn tại và không tạo bản ghi mới</x:v>
      </x:c>
      <x:c r="H3" s="31" t="str"/>
      <x:c r="I3" s="31" t="str">
        <x:v>Chưa test</x:v>
      </x:c>
      <x:c r="J3" s="32" t="str">
        <x:v>Cao</x:v>
      </x:c>
    </x:row>
    <x:row r="4" ht="42" customHeight="1">
      <x:c r="A4" s="30" t="str">
        <x:v>TC03</x:v>
      </x:c>
      <x:c r="B4" s="31" t="str">
        <x:v>Đăng nhập</x:v>
      </x:c>
      <x:c r="C4" s="31" t="str">
        <x:v>Đăng nhập với tài khoản hợp lệ</x:v>
      </x:c>
      <x:c r="D4" s="31" t="str">
        <x:v>Tài khoản đã tồn tại</x:v>
      </x:c>
      <x:c r="E4" s="31" t="str">
        <x:v>Username + mật khẩu đúng</x:v>
      </x:c>
      <x:c r="F4" s="31" t="str">
        <x:v>Mở FrmDangNhap → nhập thông tin → Nhấn Đăng nhập</x:v>
      </x:c>
      <x:c r="G4" s="31" t="str">
        <x:v>Đăng nhập thành công và mở FrmSanPham</x:v>
      </x:c>
      <x:c r="H4" s="31" t="str"/>
      <x:c r="I4" s="31" t="str">
        <x:v>Chưa test</x:v>
      </x:c>
      <x:c r="J4" s="32" t="str">
        <x:v>Cao</x:v>
      </x:c>
    </x:row>
    <x:row r="5" ht="42" customHeight="1">
      <x:c r="A5" s="30" t="str">
        <x:v>TC04</x:v>
      </x:c>
      <x:c r="B5" s="31" t="str">
        <x:v>Đăng nhập</x:v>
      </x:c>
      <x:c r="C5" s="31" t="str">
        <x:v>Đăng nhập sai mật khẩu</x:v>
      </x:c>
      <x:c r="D5" s="31" t="str">
        <x:v>Tài khoản đã tồn tại</x:v>
      </x:c>
      <x:c r="E5" s="31" t="str">
        <x:v>Username đúng, mật khẩu sai</x:v>
      </x:c>
      <x:c r="F5" s="31" t="str">
        <x:v>Nhập thông tin → Nhấn Đăng nhập</x:v>
      </x:c>
      <x:c r="G5" s="31" t="str">
        <x:v>Hiển thị thông báo đăng nhập thất bại và không mở màn hình mua hàng</x:v>
      </x:c>
      <x:c r="H5" s="31" t="str"/>
      <x:c r="I5" s="31" t="str">
        <x:v>Chưa test</x:v>
      </x:c>
      <x:c r="J5" s="32" t="str">
        <x:v>Cao</x:v>
      </x:c>
    </x:row>
    <x:row r="6" ht="42" customHeight="1">
      <x:c r="A6" s="30" t="str">
        <x:v>TC05</x:v>
      </x:c>
      <x:c r="B6" s="31" t="str">
        <x:v>Sản phẩm</x:v>
      </x:c>
      <x:c r="C6" s="31" t="str">
        <x:v>Xem danh sách sản phẩm theo nhóm</x:v>
      </x:c>
      <x:c r="D6" s="31" t="str">
        <x:v>Hệ thống có dữ liệu sản phẩm</x:v>
      </x:c>
      <x:c r="E6" s="31" t="str">
        <x:v>Một nhóm sản phẩm có dữ liệu</x:v>
      </x:c>
      <x:c r="F6" s="31" t="str">
        <x:v>Mở FrmSanPham → chọn nhóm sản phẩm</x:v>
      </x:c>
      <x:c r="G6" s="31" t="str">
        <x:v>Danh sách sản phẩm thuộc đúng nhóm được hiển thị</x:v>
      </x:c>
      <x:c r="H6" s="31" t="str"/>
      <x:c r="I6" s="31" t="str">
        <x:v>Chưa test</x:v>
      </x:c>
      <x:c r="J6" s="32" t="str">
        <x:v>Trung bình</x:v>
      </x:c>
    </x:row>
    <x:row r="7" ht="42" customHeight="1">
      <x:c r="A7" s="30" t="str">
        <x:v>TC06</x:v>
      </x:c>
      <x:c r="B7" s="31" t="str">
        <x:v>Sản phẩm</x:v>
      </x:c>
      <x:c r="C7" s="31" t="str">
        <x:v>Xem chi tiết sản phẩm</x:v>
      </x:c>
      <x:c r="D7" s="31" t="str">
        <x:v>Có sản phẩm trong danh sách</x:v>
      </x:c>
      <x:c r="E7" s="31" t="str">
        <x:v>Mã sản phẩm hợp lệ</x:v>
      </x:c>
      <x:c r="F7" s="31" t="str">
        <x:v>Chọn sản phẩm → Nhấn Xem chi tiết</x:v>
      </x:c>
      <x:c r="G7" s="31" t="str">
        <x:v>Hiển thị tên, mã, nhà sản xuất, mô tả, thông số, giá và tình trạng</x:v>
      </x:c>
      <x:c r="H7" s="31" t="str"/>
      <x:c r="I7" s="31" t="str">
        <x:v>Chưa test</x:v>
      </x:c>
      <x:c r="J7" s="32" t="str">
        <x:v>Trung bình</x:v>
      </x:c>
    </x:row>
    <x:row r="8" ht="42" customHeight="1">
      <x:c r="A8" s="30" t="str">
        <x:v>TC07</x:v>
      </x:c>
      <x:c r="B8" s="31" t="str">
        <x:v>Sản phẩm</x:v>
      </x:c>
      <x:c r="C8" s="31" t="str">
        <x:v>Thêm sản phẩm còn hàng vào giỏ</x:v>
      </x:c>
      <x:c r="D8" s="31" t="str">
        <x:v>Có sản phẩm còn hàng</x:v>
      </x:c>
      <x:c r="E8" s="31" t="str">
        <x:v>Sản phẩm SP001, số lượng 2</x:v>
      </x:c>
      <x:c r="F8" s="31" t="str">
        <x:v>Chọn sản phẩm → nhập số lượng → Thêm vào giỏ</x:v>
      </x:c>
      <x:c r="G8" s="31" t="str">
        <x:v>Sản phẩm xuất hiện trong giỏ với số lượng 2</x:v>
      </x:c>
      <x:c r="H8" s="31" t="str"/>
      <x:c r="I8" s="31" t="str">
        <x:v>Chưa test</x:v>
      </x:c>
      <x:c r="J8" s="32" t="str">
        <x:v>Cao</x:v>
      </x:c>
    </x:row>
    <x:row r="9" ht="42" customHeight="1">
      <x:c r="A9" s="30" t="str">
        <x:v>TC08</x:v>
      </x:c>
      <x:c r="B9" s="31" t="str">
        <x:v>Giỏ hàng</x:v>
      </x:c>
      <x:c r="C9" s="31" t="str">
        <x:v>Cập nhật số lượng sản phẩm</x:v>
      </x:c>
      <x:c r="D9" s="31" t="str">
        <x:v>Giỏ hàng có sản phẩm</x:v>
      </x:c>
      <x:c r="E9" s="31" t="str">
        <x:v>Đổi số lượng từ 2 thành 5</x:v>
      </x:c>
      <x:c r="F9" s="31" t="str">
        <x:v>Mở FrmGioHang → sửa số lượng → cập nhật</x:v>
      </x:c>
      <x:c r="G9" s="31" t="str">
        <x:v>Số lượng mới và thành tiền được cập nhật đúng</x:v>
      </x:c>
      <x:c r="H9" s="31" t="str"/>
      <x:c r="I9" s="31" t="str">
        <x:v>Chưa test</x:v>
      </x:c>
      <x:c r="J9" s="32" t="str">
        <x:v>Cao</x:v>
      </x:c>
    </x:row>
    <x:row r="10" ht="42" customHeight="1">
      <x:c r="A10" s="30" t="str">
        <x:v>TC09</x:v>
      </x:c>
      <x:c r="B10" s="31" t="str">
        <x:v>Giỏ hàng</x:v>
      </x:c>
      <x:c r="C10" s="31" t="str">
        <x:v>Xóa sản phẩm khỏi giỏ</x:v>
      </x:c>
      <x:c r="D10" s="31" t="str">
        <x:v>Giỏ hàng có sản phẩm</x:v>
      </x:c>
      <x:c r="E10" s="31" t="str">
        <x:v>Một sản phẩm đang có trong giỏ</x:v>
      </x:c>
      <x:c r="F10" s="31" t="str">
        <x:v>Mở FrmGioHang → chọn sản phẩm → Xóa</x:v>
      </x:c>
      <x:c r="G10" s="31" t="str">
        <x:v>Sản phẩm bị xóa khỏi giỏ và tổng tiền được tính lại</x:v>
      </x:c>
      <x:c r="H10" s="31" t="str"/>
      <x:c r="I10" s="31" t="str">
        <x:v>Chưa test</x:v>
      </x:c>
      <x:c r="J10" s="32" t="str">
        <x:v>Cao</x:v>
      </x:c>
    </x:row>
    <x:row r="11" ht="42" customHeight="1">
      <x:c r="A11" s="30" t="str">
        <x:v>TC10</x:v>
      </x:c>
      <x:c r="B11" s="31" t="str">
        <x:v>Đặt hàng</x:v>
      </x:c>
      <x:c r="C11" s="31" t="str">
        <x:v>Nhập thông tin người nhận</x:v>
      </x:c>
      <x:c r="D11" s="31" t="str">
        <x:v>Đã đăng nhập và có sản phẩm trong giỏ</x:v>
      </x:c>
      <x:c r="E11" s="31" t="str">
        <x:v>Họ tên, địa chỉ, điện thoại hợp lệ</x:v>
      </x:c>
      <x:c r="F11" s="31" t="str">
        <x:v>Mở FrmDatHang → nhập thông tin người nhận</x:v>
      </x:c>
      <x:c r="G11" s="31" t="str">
        <x:v>Thông tin người nhận được chấp nhận và sẵn sàng tạo đơn</x:v>
      </x:c>
      <x:c r="H11" s="31" t="str"/>
      <x:c r="I11" s="31" t="str">
        <x:v>Chưa test</x:v>
      </x:c>
      <x:c r="J11" s="32" t="str">
        <x:v>Cao</x:v>
      </x:c>
    </x:row>
    <x:row r="12" ht="42" customHeight="1">
      <x:c r="A12" s="30" t="str">
        <x:v>TC11</x:v>
      </x:c>
      <x:c r="B12" s="31" t="str">
        <x:v>Giao hàng</x:v>
      </x:c>
      <x:c r="C12" s="31" t="str">
        <x:v>Đơn dưới 1.000.000đ</x:v>
      </x:c>
      <x:c r="D12" s="31" t="str">
        <x:v>Đã nhập người nhận</x:v>
      </x:c>
      <x:c r="E12" s="31" t="str">
        <x:v>Tổng tiền hàng 900.000đ</x:v>
      </x:c>
      <x:c r="F12" s="31" t="str">
        <x:v>Chọn chuyển phát nhanh → tính tiền</x:v>
      </x:c>
      <x:c r="G12" s="31" t="str">
        <x:v>Phí chuyển phát nhanh được tính theo khu vực, không miễn phí</x:v>
      </x:c>
      <x:c r="H12" s="31" t="str"/>
      <x:c r="I12" s="31" t="str">
        <x:v>Chưa test</x:v>
      </x:c>
      <x:c r="J12" s="32" t="str">
        <x:v>Cao</x:v>
      </x:c>
    </x:row>
    <x:row r="13" ht="42" customHeight="1">
      <x:c r="A13" s="30" t="str">
        <x:v>TC12</x:v>
      </x:c>
      <x:c r="B13" s="31" t="str">
        <x:v>Giao hàng</x:v>
      </x:c>
      <x:c r="C13" s="31" t="str">
        <x:v>Đơn từ 1.000.000đ</x:v>
      </x:c>
      <x:c r="D13" s="31" t="str">
        <x:v>Đã nhập người nhận</x:v>
      </x:c>
      <x:c r="E13" s="31" t="str">
        <x:v>Tổng tiền hàng 1.000.000đ</x:v>
      </x:c>
      <x:c r="F13" s="31" t="str">
        <x:v>Chọn chuyển phát nhanh → tính tiền</x:v>
      </x:c>
      <x:c r="G13" s="31" t="str">
        <x:v>Phí chuyển phát nhanh = 0đ</x:v>
      </x:c>
      <x:c r="H13" s="31" t="str"/>
      <x:c r="I13" s="31" t="str">
        <x:v>Chưa test</x:v>
      </x:c>
      <x:c r="J13" s="32" t="str">
        <x:v>Cao</x:v>
      </x:c>
    </x:row>
    <x:row r="14" ht="42" customHeight="1">
      <x:c r="A14" s="30" t="str">
        <x:v>TC13</x:v>
      </x:c>
      <x:c r="B14" s="31" t="str">
        <x:v>Giao hàng</x:v>
      </x:c>
      <x:c r="C14" s="31" t="str">
        <x:v>Đơn từ 5.000.000đ</x:v>
      </x:c>
      <x:c r="D14" s="31" t="str">
        <x:v>Đã nhập người nhận</x:v>
      </x:c>
      <x:c r="E14" s="31" t="str">
        <x:v>Tổng tiền hàng 5.000.000đ</x:v>
      </x:c>
      <x:c r="F14" s="31" t="str">
        <x:v>Chọn chuyển phát nhanh trong ngày → tính tiền</x:v>
      </x:c>
      <x:c r="G14" s="31" t="str">
        <x:v>Phí chuyển phát nhanh trong ngày = 0đ</x:v>
      </x:c>
      <x:c r="H14" s="31" t="str"/>
      <x:c r="I14" s="31" t="str">
        <x:v>Chưa test</x:v>
      </x:c>
      <x:c r="J14" s="32" t="str">
        <x:v>Cao</x:v>
      </x:c>
    </x:row>
    <x:row r="15" ht="42" customHeight="1">
      <x:c r="A15" s="30" t="str">
        <x:v>TC14</x:v>
      </x:c>
      <x:c r="B15" s="31" t="str">
        <x:v>Thanh toán</x:v>
      </x:c>
      <x:c r="C15" s="31" t="str">
        <x:v>VISA có số thẻ hợp lệ</x:v>
      </x:c>
      <x:c r="D15" s="31" t="str">
        <x:v>Đã đến FrmThanhToan</x:v>
      </x:c>
      <x:c r="E15" s="31" t="str">
        <x:v>VISA, 16 chữ số, CSV 3 chữ số, ngày hết hạn hợp lệ</x:v>
      </x:c>
      <x:c r="F15" s="31" t="str">
        <x:v>Nhập thông tin thẻ → Thanh toán</x:v>
      </x:c>
      <x:c r="G15" s="31" t="str">
        <x:v>Thông tin thẻ vượt qua kiểm tra định dạng</x:v>
      </x:c>
      <x:c r="H15" s="31" t="str"/>
      <x:c r="I15" s="31" t="str">
        <x:v>Chưa test</x:v>
      </x:c>
      <x:c r="J15" s="32" t="str">
        <x:v>Cao</x:v>
      </x:c>
    </x:row>
    <x:row r="16" ht="42" customHeight="1">
      <x:c r="A16" s="30" t="str">
        <x:v>TC15</x:v>
      </x:c>
      <x:c r="B16" s="31" t="str">
        <x:v>Thanh toán</x:v>
      </x:c>
      <x:c r="C16" s="31" t="str">
        <x:v>VISA sai độ dài số thẻ</x:v>
      </x:c>
      <x:c r="D16" s="31" t="str">
        <x:v>Đã đến FrmThanhToan</x:v>
      </x:c>
      <x:c r="E16" s="31" t="str">
        <x:v>VISA, 9 chữ số</x:v>
      </x:c>
      <x:c r="F16" s="31" t="str">
        <x:v>Nhập số thẻ → Thanh toán</x:v>
      </x:c>
      <x:c r="G16" s="31" t="str">
        <x:v>Hiển thị lỗi 'Số thẻ không đúng độ dài' và không gửi thanh toán</x:v>
      </x:c>
      <x:c r="H16" s="31" t="str"/>
      <x:c r="I16" s="31" t="str">
        <x:v>Chưa test</x:v>
      </x:c>
      <x:c r="J16" s="32" t="str">
        <x:v>Cao</x:v>
      </x:c>
    </x:row>
    <x:row r="17" ht="42" customHeight="1">
      <x:c r="A17" s="30" t="str">
        <x:v>TC16</x:v>
      </x:c>
      <x:c r="B17" s="31" t="str">
        <x:v>Thanh toán</x:v>
      </x:c>
      <x:c r="C17" s="31" t="str">
        <x:v>American Express hợp lệ</x:v>
      </x:c>
      <x:c r="D17" s="31" t="str">
        <x:v>Đã đến FrmThanhToan</x:v>
      </x:c>
      <x:c r="E17" s="31" t="str">
        <x:v>American Express, 15 chữ số, CSV 4 chữ số</x:v>
      </x:c>
      <x:c r="F17" s="31" t="str">
        <x:v>Nhập thông tin thẻ → Thanh toán</x:v>
      </x:c>
      <x:c r="G17" s="31" t="str">
        <x:v>Thông tin thẻ vượt qua kiểm tra định dạng</x:v>
      </x:c>
      <x:c r="H17" s="31" t="str"/>
      <x:c r="I17" s="31" t="str">
        <x:v>Chưa test</x:v>
      </x:c>
      <x:c r="J17" s="32" t="str">
        <x:v>Cao</x:v>
      </x:c>
    </x:row>
    <x:row r="18" ht="42" customHeight="1">
      <x:c r="A18" s="30" t="str">
        <x:v>TC17</x:v>
      </x:c>
      <x:c r="B18" s="31" t="str">
        <x:v>Thanh toán</x:v>
      </x:c>
      <x:c r="C18" s="31" t="str">
        <x:v>CSV không đúng độ dài</x:v>
      </x:c>
      <x:c r="D18" s="31" t="str">
        <x:v>Đã đến FrmThanhToan</x:v>
      </x:c>
      <x:c r="E18" s="31" t="str">
        <x:v>VISA, số thẻ 16 chữ số, CSV 2 chữ số</x:v>
      </x:c>
      <x:c r="F18" s="31" t="str">
        <x:v>Nhập thông tin thẻ → Thanh toán</x:v>
      </x:c>
      <x:c r="G18" s="31" t="str">
        <x:v>Hệ thống báo CSV không hợp lệ</x:v>
      </x:c>
      <x:c r="H18" s="31" t="str"/>
      <x:c r="I18" s="31" t="str">
        <x:v>Chưa test</x:v>
      </x:c>
      <x:c r="J18" s="32" t="str">
        <x:v>Cao</x:v>
      </x:c>
    </x:row>
    <x:row r="19" ht="42" customHeight="1">
      <x:c r="A19" s="30" t="str">
        <x:v>TC18</x:v>
      </x:c>
      <x:c r="B19" s="31" t="str">
        <x:v>Thanh toán</x:v>
      </x:c>
      <x:c r="C19" s="31" t="str">
        <x:v>Thanh toán thất bại từ cổng thanh toán</x:v>
      </x:c>
      <x:c r="D19" s="31" t="str">
        <x:v>Thông tin thẻ hợp lệ về định dạng</x:v>
      </x:c>
      <x:c r="E19" s="31" t="str">
        <x:v>Mock Payment trả về thất bại</x:v>
      </x:c>
      <x:c r="F19" s="31" t="str">
        <x:v>Thực hiện thanh toán</x:v>
      </x:c>
      <x:c r="G19" s="31" t="str">
        <x:v>Không tạo đơn hàng; hiển thị thông báo thanh toán thất bại</x:v>
      </x:c>
      <x:c r="H19" s="31" t="str"/>
      <x:c r="I19" s="31" t="str">
        <x:v>Chưa test</x:v>
      </x:c>
      <x:c r="J19" s="32" t="str">
        <x:v>Cao</x:v>
      </x:c>
    </x:row>
    <x:row r="20" ht="42" customHeight="1">
      <x:c r="A20" s="30" t="str">
        <x:v>TC19</x:v>
      </x:c>
      <x:c r="B20" s="31" t="str">
        <x:v>Đặt hàng</x:v>
      </x:c>
      <x:c r="C20" s="31" t="str">
        <x:v>Thanh toán thành công và tạo đơn</x:v>
      </x:c>
      <x:c r="D20" s="31" t="str">
        <x:v>Giỏ hàng hợp lệ, thông tin nhận hàng hợp lệ</x:v>
      </x:c>
      <x:c r="E20" s="31" t="str">
        <x:v>Thẻ hợp lệ, Payment trả về thành công</x:v>
      </x:c>
      <x:c r="F20" s="31" t="str">
        <x:v>Đặt hàng → Thanh toán → xác nhận</x:v>
      </x:c>
      <x:c r="G20" s="31" t="str">
        <x:v>Tạo DonHang, ChiTietDonHang, ThanhToan và hiển thị FrmXacNhanDon</x:v>
      </x:c>
      <x:c r="H20" s="31" t="str"/>
      <x:c r="I20" s="31" t="str">
        <x:v>Chưa test</x:v>
      </x:c>
      <x:c r="J20" s="32" t="str">
        <x:v>Cao</x:v>
      </x:c>
    </x:row>
    <x:row r="21" ht="42" customHeight="1">
      <x:c r="A21" s="33" t="str">
        <x:v>TC20</x:v>
      </x:c>
      <x:c r="B21" s="34" t="str">
        <x:v>Bảo mật</x:v>
      </x:c>
      <x:c r="C21" s="34" t="str">
        <x:v>Thông tin thẻ không lưu đầy đủ</x:v>
      </x:c>
      <x:c r="D21" s="34" t="str">
        <x:v>Thanh toán thành công</x:v>
      </x:c>
      <x:c r="E21" s="34" t="str">
        <x:v>Số thẻ test bất kỳ</x:v>
      </x:c>
      <x:c r="F21" s="34" t="str">
        <x:v>Kiểm tra dữ liệu trong bảng ThanhToan</x:v>
      </x:c>
      <x:c r="G21" s="34" t="str">
        <x:v>Chỉ lưu số thẻ đã che/mã tham chiếu; không lưu CSV/CVV đầy đủ</x:v>
      </x:c>
      <x:c r="H21" s="34" t="str"/>
      <x:c r="I21" s="34" t="str">
        <x:v>Chưa test</x:v>
      </x:c>
      <x:c r="J21" s="35" t="str">
        <x:v>Cao</x:v>
      </x:c>
    </x:row>
  </x:sheetData>
  <x:conditionalFormatting sqref="I2:I21">
    <x:cfRule type="expression" dxfId="0" priority="1">
      <x:formula>I2="Pass"</x:formula>
    </x:cfRule>
    <x:cfRule type="expression" dxfId="1" priority="2">
      <x:formula>I2="Fail"</x:formula>
    </x:cfRule>
    <x:cfRule type="expression" dxfId="2" priority="3">
      <x:formula>I2="Blocked"</x:formula>
    </x:cfRule>
  </x:conditionalFormatting>
  <x:conditionalFormatting sqref="J2:J21">
    <x:cfRule type="expression" dxfId="3" priority="4">
      <x:formula>J2="Cao"</x:formula>
    </x:cfRule>
    <x:cfRule type="expression" dxfId="4" priority="5">
      <x:formula>J2="Trung bình"</x:formula>
    </x:cfRule>
  </x:conditionalFormatting>
  <x:dataValidations count="2">
    <x:dataValidation type="list" sqref="I2:I21">
      <x:formula1>"Chưa test,Pass,Fail,Blocked"</x:formula1>
    </x:dataValidation>
    <x:dataValidation type="list" sqref="J2:J21">
      <x:formula1>"Cao,Trung bình,Thấp"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5580fae81545f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9" hidden="0" customWidth="1"/>
    <x:col min="3" max="3" width="16" hidden="0" customWidth="1"/>
    <x:col min="4" max="4" width="34" hidden="0" customWidth="1"/>
    <x:col min="5" max="5" width="34" hidden="0" customWidth="1"/>
    <x:col min="6" max="6" width="15" hidden="0" customWidth="1"/>
  </x:cols>
  <x:sheetData>
    <x:row r="1" ht="38" customHeight="1">
      <x:c r="A1" s="52" t="str">
        <x:v>Mã yêu cầu</x:v>
      </x:c>
      <x:c r="B1" s="53" t="str">
        <x:v>Yêu cầu</x:v>
      </x:c>
      <x:c r="C1" s="53" t="str">
        <x:v>Use Case</x:v>
      </x:c>
      <x:c r="D1" s="53" t="str">
        <x:v>Form/Service</x:v>
      </x:c>
      <x:c r="E1" s="53" t="str">
        <x:v>Bảng CSDL</x:v>
      </x:c>
      <x:c r="F1" s="54" t="str">
        <x:v>Test Case</x:v>
      </x:c>
    </x:row>
    <x:row r="2" ht="38" customHeight="1">
      <x:c r="A2" s="17" t="str">
        <x:v>RQ01</x:v>
      </x:c>
      <x:c r="B2" s="12" t="str">
        <x:v>Đăng ký tài khoản</x:v>
      </x:c>
      <x:c r="C2" s="12" t="str">
        <x:v>UC01</x:v>
      </x:c>
      <x:c r="D2" s="12" t="str">
        <x:v>FrmDangKy / KhachHangService</x:v>
      </x:c>
      <x:c r="E2" s="12" t="str">
        <x:v>KhachHang</x:v>
      </x:c>
      <x:c r="F2" s="18" t="str">
        <x:v>TC01-TC02</x:v>
      </x:c>
    </x:row>
    <x:row r="3" ht="38" customHeight="1">
      <x:c r="A3" s="17" t="str">
        <x:v>RQ02</x:v>
      </x:c>
      <x:c r="B3" s="12" t="str">
        <x:v>Đăng nhập</x:v>
      </x:c>
      <x:c r="C3" s="12" t="str">
        <x:v>UC02</x:v>
      </x:c>
      <x:c r="D3" s="12" t="str">
        <x:v>FrmDangNhap / KhachHangService</x:v>
      </x:c>
      <x:c r="E3" s="12" t="str">
        <x:v>KhachHang</x:v>
      </x:c>
      <x:c r="F3" s="18" t="str">
        <x:v>TC03-TC04</x:v>
      </x:c>
    </x:row>
    <x:row r="4" ht="38" customHeight="1">
      <x:c r="A4" s="17" t="str">
        <x:v>RQ03</x:v>
      </x:c>
      <x:c r="B4" s="12" t="str">
        <x:v>Xem sản phẩm</x:v>
      </x:c>
      <x:c r="C4" s="12" t="str">
        <x:v>UC03-UC04</x:v>
      </x:c>
      <x:c r="D4" s="12" t="str">
        <x:v>FrmSanPham / FrmChiTietSanPham / SanPhamService</x:v>
      </x:c>
      <x:c r="E4" s="12" t="str">
        <x:v>SanPham, NhomSanPham</x:v>
      </x:c>
      <x:c r="F4" s="18" t="str">
        <x:v>TC05-TC06</x:v>
      </x:c>
    </x:row>
    <x:row r="5" ht="38" customHeight="1">
      <x:c r="A5" s="17" t="str">
        <x:v>RQ04</x:v>
      </x:c>
      <x:c r="B5" s="12" t="str">
        <x:v>Quản lý giỏ hàng</x:v>
      </x:c>
      <x:c r="C5" s="12" t="str">
        <x:v>UC05-UC08</x:v>
      </x:c>
      <x:c r="D5" s="12" t="str">
        <x:v>FrmGioHang / GioHangService</x:v>
      </x:c>
      <x:c r="E5" s="12" t="str">
        <x:v>GioHang, ChiTietGioHang</x:v>
      </x:c>
      <x:c r="F5" s="18" t="str">
        <x:v>TC07-TC09</x:v>
      </x:c>
    </x:row>
    <x:row r="6" ht="38" customHeight="1">
      <x:c r="A6" s="17" t="str">
        <x:v>RQ05</x:v>
      </x:c>
      <x:c r="B6" s="12" t="str">
        <x:v>Đặt hàng</x:v>
      </x:c>
      <x:c r="C6" s="12" t="str">
        <x:v>UC09-UC12</x:v>
      </x:c>
      <x:c r="D6" s="12" t="str">
        <x:v>FrmDatHang / DonHangService</x:v>
      </x:c>
      <x:c r="E6" s="12" t="str">
        <x:v>DonHang, ChiTietDonHang, NguoiNhan, GiaoHang</x:v>
      </x:c>
      <x:c r="F6" s="18" t="str">
        <x:v>TC10-TC13</x:v>
      </x:c>
    </x:row>
    <x:row r="7" ht="38" customHeight="1">
      <x:c r="A7" s="17" t="str">
        <x:v>RQ06</x:v>
      </x:c>
      <x:c r="B7" s="12" t="str">
        <x:v>Thanh toán</x:v>
      </x:c>
      <x:c r="C7" s="12" t="str">
        <x:v>UC13-UC14</x:v>
      </x:c>
      <x:c r="D7" s="12" t="str">
        <x:v>FrmThanhToan / ThanhToanService</x:v>
      </x:c>
      <x:c r="E7" s="12" t="str">
        <x:v>ThanhToan</x:v>
      </x:c>
      <x:c r="F7" s="18" t="str">
        <x:v>TC14-TC19</x:v>
      </x:c>
    </x:row>
    <x:row r="8" ht="38" customHeight="1">
      <x:c r="A8" s="19" t="str">
        <x:v>RQ07</x:v>
      </x:c>
      <x:c r="B8" s="20" t="str">
        <x:v>Bảo mật thông tin thẻ</x:v>
      </x:c>
      <x:c r="C8" s="20" t="str">
        <x:v>UC13-UC14</x:v>
      </x:c>
      <x:c r="D8" s="20" t="str">
        <x:v>ThanhToanService / PaymentAdapter</x:v>
      </x:c>
      <x:c r="E8" s="20" t="str">
        <x:v>ThanhToan</x:v>
      </x:c>
      <x:c r="F8" s="21" t="str">
        <x:v>TC20</x:v>
      </x:c>
    </x:row>
  </x:sheetData>
  <x:pageMargins left="0.7" right="0.7" top="0.75" bottom="0.75" header="0.3" footer="0.3"/>
  <x:tableParts count="1">
    <x:tablePart xmlns:r="http://schemas.openxmlformats.org/officeDocument/2006/relationships" r:id="Ra68402cc7d4e4b9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</x:cols>
  <x:sheetData>
    <x:row r="1" ht="30" customHeight="1">
      <x:c r="A1" s="60" t="str">
        <x:v>TỔNG QUAN KIỂM THỬ e-SHOPPING</x:v>
      </x:c>
    </x:row>
    <x:row r="2" ht="24" customHeight="1"/>
    <x:row r="3" ht="24" customHeight="1">
      <x:c r="A3" s="70" t="str">
        <x:v>Chỉ tiêu</x:v>
      </x:c>
      <x:c r="B3" s="71" t="str">
        <x:v>Giá trị</x:v>
      </x:c>
      <x:c r="D3" s="66" t="str">
        <x:v>Trạng thái</x:v>
      </x:c>
      <x:c r="E3" s="66" t="str">
        <x:v>Số lượng</x:v>
      </x:c>
    </x:row>
    <x:row r="4" ht="24" customHeight="1">
      <x:c r="A4" s="72" t="str">
        <x:v>Tổng số Test Case</x:v>
      </x:c>
      <x:c r="B4" s="73" t="n">
        <x:f>COUNTA('Test Cases'!A2:A21)</x:f>
        <x:v>20</x:v>
      </x:c>
      <x:c r="D4" t="str">
        <x:v>Pass</x:v>
      </x:c>
      <x:c r="E4" t="n">
        <x:f>COUNTIF('Test Cases'!I2:I21,"Pass")</x:f>
        <x:v>0</x:v>
      </x:c>
    </x:row>
    <x:row r="5" ht="24" customHeight="1">
      <x:c r="A5" s="72" t="str">
        <x:v>Pass</x:v>
      </x:c>
      <x:c r="B5" s="73" t="n">
        <x:f>COUNTIF('Test Cases'!I2:I21,"Pass")</x:f>
        <x:v>0</x:v>
      </x:c>
      <x:c r="D5" t="str">
        <x:v>Fail</x:v>
      </x:c>
      <x:c r="E5" t="n">
        <x:f>COUNTIF('Test Cases'!I2:I21,"Fail")</x:f>
        <x:v>0</x:v>
      </x:c>
    </x:row>
    <x:row r="6" ht="24" customHeight="1">
      <x:c r="A6" s="72" t="str">
        <x:v>Fail</x:v>
      </x:c>
      <x:c r="B6" s="73" t="n">
        <x:f>COUNTIF('Test Cases'!I2:I21,"Fail")</x:f>
        <x:v>0</x:v>
      </x:c>
    </x:row>
    <x:row r="7" ht="24" customHeight="1">
      <x:c r="A7" s="74" t="str">
        <x:v>Chưa test / Blocked</x:v>
      </x:c>
      <x:c r="B7" s="75" t="n">
        <x:f>COUNTIF('Test Cases'!I2:I21,"Chưa test")+COUNTIF('Test Cases'!I2:I21,"Blocked")</x:f>
        <x:v>20</x:v>
      </x:c>
    </x:row>
    <x:row r="8" ht="24" customHeight="1"/>
    <x:row r="9" ht="24" customHeight="1"/>
    <x:row r="10" ht="24" customHeight="1"/>
  </x:sheetData>
  <x:mergeCells>
    <x:mergeCell ref="A1:D1"/>
  </x:mergeCells>
  <x:pageMargins left="0.7" right="0.7" top="0.75" bottom="0.75" header="0.3" footer="0.3"/>
  <x:drawing xmlns:r="http://schemas.openxmlformats.org/officeDocument/2006/relationships" r:id="Rc956409fd23348a5"/>
</x:worksheet>
</file>